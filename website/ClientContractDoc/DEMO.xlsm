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35" windowWidth="20115" windowHeight="7635" activeTab="2"/>
  </bookViews>
  <sheets>
    <sheet name="DASHBOARD" sheetId="5" r:id="rId1"/>
    <sheet name="DEMO" sheetId="3" r:id="rId2"/>
    <sheet name="LOAN FORM" sheetId="4" r:id="rId3"/>
    <sheet name="LOAN DATA" sheetId="6" r:id="rId4"/>
  </sheets>
  <definedNames>
    <definedName name="LOAN">'LOAN DATA'!$A$1:$N$101</definedName>
    <definedName name="_xlnm.Print_Area" localSheetId="0">DASHBOARD!$A$1:$U$39</definedName>
  </definedNames>
  <calcPr calcId="144525"/>
</workbook>
</file>

<file path=xl/calcChain.xml><?xml version="1.0" encoding="utf-8"?>
<calcChain xmlns="http://schemas.openxmlformats.org/spreadsheetml/2006/main">
  <c r="C9" i="4" l="1"/>
  <c r="H18" i="4"/>
  <c r="H16" i="4"/>
  <c r="H15" i="4"/>
  <c r="H14" i="4"/>
  <c r="C18" i="4"/>
  <c r="C17" i="4"/>
  <c r="C16" i="4"/>
  <c r="C15" i="4"/>
  <c r="C14" i="4"/>
  <c r="C8" i="4"/>
</calcChain>
</file>

<file path=xl/sharedStrings.xml><?xml version="1.0" encoding="utf-8"?>
<sst xmlns="http://schemas.openxmlformats.org/spreadsheetml/2006/main" count="161" uniqueCount="153">
  <si>
    <t xml:space="preserve">NAME </t>
  </si>
  <si>
    <t>SN</t>
  </si>
  <si>
    <t>ANKIT SONI</t>
  </si>
  <si>
    <t>LAKHAN LAL SONI</t>
  </si>
  <si>
    <t xml:space="preserve"> </t>
  </si>
  <si>
    <t>LOAN APLI.</t>
  </si>
  <si>
    <t>CUSTOMER NAME</t>
  </si>
  <si>
    <t>FATHER/HUSBAND NAME</t>
  </si>
  <si>
    <t>AADHAAR NO</t>
  </si>
  <si>
    <t>SHOP NO.</t>
  </si>
  <si>
    <t>MOBILE NO.</t>
  </si>
  <si>
    <t>DATE</t>
  </si>
  <si>
    <t>LP/47510001</t>
  </si>
  <si>
    <t>ANIL KUMAR</t>
  </si>
  <si>
    <t xml:space="preserve">OMPRAKASH </t>
  </si>
  <si>
    <t>MP20D0022640</t>
  </si>
  <si>
    <t>30/03/2019</t>
  </si>
  <si>
    <t>LP/47510002</t>
  </si>
  <si>
    <t>MAHESH KUMAR SAHU</t>
  </si>
  <si>
    <t>KEVALIYARAM SAHU</t>
  </si>
  <si>
    <t>MP20D0014927</t>
  </si>
  <si>
    <t>LP/47510003</t>
  </si>
  <si>
    <t>DILIP RAJPOOT</t>
  </si>
  <si>
    <t>LATE:GULAB RAJPOOT</t>
  </si>
  <si>
    <t>MP20D00</t>
  </si>
  <si>
    <t>31/03/2019</t>
  </si>
  <si>
    <t>LP/47510004</t>
  </si>
  <si>
    <t>LP/47510005</t>
  </si>
  <si>
    <t>LP/47510006</t>
  </si>
  <si>
    <t>LP/47510007</t>
  </si>
  <si>
    <t>LP/47510008</t>
  </si>
  <si>
    <t>LP/47510009</t>
  </si>
  <si>
    <t>LP/47510010</t>
  </si>
  <si>
    <t>LP/47510011</t>
  </si>
  <si>
    <t>LP/47510012</t>
  </si>
  <si>
    <t>LP/47510013</t>
  </si>
  <si>
    <t>LP/47510014</t>
  </si>
  <si>
    <t>LP/47510015</t>
  </si>
  <si>
    <t>LP/47510016</t>
  </si>
  <si>
    <t>LP/47510017</t>
  </si>
  <si>
    <t>LP/47510018</t>
  </si>
  <si>
    <t>LP/47510019</t>
  </si>
  <si>
    <t>LP/47510020</t>
  </si>
  <si>
    <t>LP/47510021</t>
  </si>
  <si>
    <t>KJHDKJH</t>
  </si>
  <si>
    <t>KJHK</t>
  </si>
  <si>
    <t>KHG</t>
  </si>
  <si>
    <t>HK</t>
  </si>
  <si>
    <t>IHG</t>
  </si>
  <si>
    <t>ARUN KAILASIYA</t>
  </si>
  <si>
    <t>HARIOM KAILASIYA</t>
  </si>
  <si>
    <t>6177 9665 3966</t>
  </si>
  <si>
    <t>MP20D0023438</t>
  </si>
  <si>
    <t>15/04/2019</t>
  </si>
  <si>
    <t>……………………………………………………..</t>
  </si>
  <si>
    <r>
      <rPr>
        <sz val="36"/>
        <color theme="1"/>
        <rFont val="Algerian"/>
        <family val="5"/>
      </rPr>
      <t>ASD</t>
    </r>
    <r>
      <rPr>
        <sz val="26"/>
        <color theme="3" tint="0.39997558519241921"/>
        <rFont val="Blackadder ITC"/>
        <family val="5"/>
      </rPr>
      <t>GROUP</t>
    </r>
    <r>
      <rPr>
        <sz val="36"/>
        <color theme="1"/>
        <rFont val="Algerian"/>
        <family val="5"/>
      </rPr>
      <t>SERVICE</t>
    </r>
  </si>
  <si>
    <t>BRANCH ADD.-NAGAR PALIKA KE PASS,DABRA-GWALIOR(M.P.)475110</t>
  </si>
  <si>
    <t>CUSROMER CARE NO.-72472 13275</t>
  </si>
  <si>
    <t>LOAN APLLI.NO.-</t>
  </si>
  <si>
    <t>PHOTO</t>
  </si>
  <si>
    <t>ASD LOAN FORM</t>
  </si>
  <si>
    <t>आवेदक का नाम-</t>
  </si>
  <si>
    <t>जन्मतिथि-</t>
  </si>
  <si>
    <t>पिता/पति का नाम-</t>
  </si>
  <si>
    <t>माताजी का नाम-</t>
  </si>
  <si>
    <t>आधार नंबर-</t>
  </si>
  <si>
    <t>1 मोबाइल नंबर-</t>
  </si>
  <si>
    <t>2 मोबाइल नंबर-</t>
  </si>
  <si>
    <t>पिन कोड नंबर</t>
  </si>
  <si>
    <t>दुकान पंजीयन नंबर-</t>
  </si>
  <si>
    <t>पेन नंबर-</t>
  </si>
  <si>
    <t>सम्मिलित दस्तावेज</t>
  </si>
  <si>
    <t xml:space="preserve">*आधार कार्ड  *वोटर कार्ड *पैन कार्ड   *दुकान रजिस्ट्रेशन </t>
  </si>
  <si>
    <t>घोषणा</t>
  </si>
  <si>
    <r>
      <rPr>
        <b/>
        <sz val="12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.क्या आप शादीशुदा हैं-…………………………………</t>
    </r>
  </si>
  <si>
    <r>
      <rPr>
        <b/>
        <sz val="12"/>
        <color theme="1"/>
        <rFont val="Calibri"/>
        <family val="2"/>
        <scheme val="minor"/>
      </rPr>
      <t>11</t>
    </r>
    <r>
      <rPr>
        <sz val="11"/>
        <color theme="1"/>
        <rFont val="Calibri"/>
        <family val="2"/>
        <scheme val="minor"/>
      </rPr>
      <t>.क्या आप किसी आपराधिक मामले में सम्मिलित हैं या किसी न्यायालय में आपके विरुद्ध कोई</t>
    </r>
  </si>
  <si>
    <t>PERSONAL DETA.-</t>
  </si>
  <si>
    <t>BANK DETAILS-</t>
  </si>
  <si>
    <t>CUSTOMER SINGNATURE</t>
  </si>
  <si>
    <t>बैंक नाम-……………………………………….</t>
  </si>
  <si>
    <t>खाता नंबर-…………………………………….</t>
  </si>
  <si>
    <r>
      <rPr>
        <b/>
        <sz val="12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. निवास पता-…………………………………………………………………………………………………………………………………………………..</t>
    </r>
  </si>
  <si>
    <r>
      <rPr>
        <b/>
        <sz val="12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.पिन कोड नंबर-….…………………...……... </t>
    </r>
    <r>
      <rPr>
        <b/>
        <sz val="12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.जिला-…………………………….…………. </t>
    </r>
    <r>
      <rPr>
        <b/>
        <sz val="12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.राज्य-………………………………………..</t>
    </r>
  </si>
  <si>
    <r>
      <rPr>
        <b/>
        <sz val="12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. दुकान पता-………………...………...…………………………………………………………………………………………………………………………</t>
    </r>
  </si>
  <si>
    <r>
      <rPr>
        <b/>
        <sz val="12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.पिन कोड नंबर-…………….………...……... </t>
    </r>
    <r>
      <rPr>
        <b/>
        <sz val="12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.जिला-…………………………….…………. </t>
    </r>
    <r>
      <rPr>
        <b/>
        <sz val="12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.राज्य-………………………………………</t>
    </r>
  </si>
  <si>
    <r>
      <rPr>
        <b/>
        <sz val="12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.आप जो व्यवसाय कर रहे हो वह कितने वर्ष पुराना है-……………………………………………………………………………………..</t>
    </r>
  </si>
  <si>
    <r>
      <rPr>
        <b/>
        <sz val="12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.आपके व्यवसाय का मुख्य काम क्या है-………….……………………………………………………………………………………………………….</t>
    </r>
  </si>
  <si>
    <r>
      <rPr>
        <b/>
        <sz val="12"/>
        <color theme="1"/>
        <rFont val="Calibri"/>
        <family val="2"/>
        <scheme val="minor"/>
      </rPr>
      <t>8.</t>
    </r>
    <r>
      <rPr>
        <sz val="11"/>
        <color theme="1"/>
        <rFont val="Calibri"/>
        <family val="2"/>
        <scheme val="minor"/>
      </rPr>
      <t>आपकी महीने की इनकम कितनी है- …………………………………लोन लेने का कारण-………………………………………….</t>
    </r>
  </si>
  <si>
    <t>प्रक्रम चल रहा है तो उसका विवरण दें-……………………………………………………………………………………………………………</t>
  </si>
  <si>
    <t>खाता धारक का नाम-……………………………………………………………………………..</t>
  </si>
  <si>
    <t>आईएफएससी कोड-……………………………………………………………………………..</t>
  </si>
  <si>
    <r>
      <rPr>
        <b/>
        <sz val="12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.क्या फैमिली के साथ रहते हैं-…………………..…………………….</t>
    </r>
  </si>
  <si>
    <r>
      <rPr>
        <b/>
        <sz val="12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.घर के किसी सदस्य का मोबाइल नंबर-…………………………………………………….………………………………………………………………</t>
    </r>
  </si>
  <si>
    <r>
      <rPr>
        <b/>
        <sz val="12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.यदि आपका कोई और लोन या समूह चल रहा है तो विवरण दें………………….…………………………………………………………..</t>
    </r>
  </si>
  <si>
    <r>
      <rPr>
        <b/>
        <sz val="12"/>
        <color theme="1"/>
        <rFont val="Calibri"/>
        <family val="2"/>
        <scheme val="minor"/>
      </rPr>
      <t>9</t>
    </r>
    <r>
      <rPr>
        <sz val="11"/>
        <color theme="1"/>
        <rFont val="Calibri"/>
        <family val="2"/>
        <scheme val="minor"/>
      </rPr>
      <t>.आपको कितनी रकम की आवश्यकता है-…………………..………..……………..………………… (5000/- से 50000/-)</t>
    </r>
  </si>
  <si>
    <r>
      <rPr>
        <b/>
        <sz val="12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>.क्या आप किसी असाध्य या गंभीर बीमारी से पीड़ित हैं तो विवरण दें-……………………………………………………………………..</t>
    </r>
  </si>
  <si>
    <t>मैं (आवेदक घोषणा)………………………………………………… करता हूं कि मेरे द्वारा दी गई संपूर्ण लिखित</t>
  </si>
  <si>
    <t xml:space="preserve"> व दस्तावेज के माध्यम से जानकारी सत्य व सही है यदि मेरे द्वारा दी गई जानकारी लिखित  </t>
  </si>
  <si>
    <t xml:space="preserve"> दस्तावेज के रूप में गलत पाई जाए तो ASD GROUP SERVICE  का पूरा अधिकार है कि मेरे द्वारा </t>
  </si>
  <si>
    <t xml:space="preserve"> दी गए लोन के फॉर्म को मुझे बिना सूचित किए वह रिजेक्ट कर सकते हैं                    </t>
  </si>
  <si>
    <t>ASD GROUP SERVICE का कथन:-</t>
  </si>
  <si>
    <t>ASD GROUP SERVICE पर किसी व्यक्ति दल समूह राजनीतिक पार्टी का सरकार का कोई अधिकार</t>
  </si>
  <si>
    <t>नहीं है कि वह आवेदक को लोन दे.ASD GROUP SERVICE के नियम कायदों में जो व्यक्ति सही पा</t>
  </si>
  <si>
    <t>या जाएगा लोन का लाभ उसी आवेदक को मिलेगा</t>
  </si>
  <si>
    <t>नोट:- किसी भी कारण से आपके लोन का आवेदन रिजेक्ट किया जा सकता है</t>
  </si>
  <si>
    <t>लोन फार्म जमा तिथि:-……………………………………..</t>
  </si>
  <si>
    <t xml:space="preserve">फार्म फीस-100/-  </t>
  </si>
  <si>
    <t>अधिकारी कार्य</t>
  </si>
  <si>
    <t>1-LOAN APLICATION STUTS:-APROVED/REJECT</t>
  </si>
  <si>
    <t>CUSTOMER SING.                      GUARANTOR SING.                 OFFICER SING.</t>
  </si>
  <si>
    <t>PAY. TRANSACTION ID-</t>
  </si>
  <si>
    <t>REMARK-</t>
  </si>
  <si>
    <t>लोन संबंधी अधिक जानकारी के लिए यूट्यूब चैनल को विजिट करें</t>
  </si>
  <si>
    <t>YOUTUBE CHANNEL-ASD GROUP SERVICE</t>
  </si>
  <si>
    <t>2-LOAN AMOUNT:-……….. 3-RPA…………………………………………4-EMIPLAN…………………………………</t>
  </si>
  <si>
    <t>5-LOAN ISSUE DATE:-…………………………6-LOAN DUERATION:-………………………………………………………</t>
  </si>
  <si>
    <t>7-LOAN AC NO-………………………………….</t>
  </si>
  <si>
    <t>HOME PAGE</t>
  </si>
  <si>
    <t>LOAN APLLI NO.</t>
  </si>
  <si>
    <t>REMARKE</t>
  </si>
  <si>
    <t>F/H NAME</t>
  </si>
  <si>
    <t>MOTHER NAME</t>
  </si>
  <si>
    <t>DOB</t>
  </si>
  <si>
    <t>PAN NO</t>
  </si>
  <si>
    <t>1 MOBILE NO</t>
  </si>
  <si>
    <t>SHOP REGI. NO</t>
  </si>
  <si>
    <t>PIN CODE</t>
  </si>
  <si>
    <t>TRANSACTION ID</t>
  </si>
  <si>
    <t>LP/000000001</t>
  </si>
  <si>
    <t>RAJESH 4578</t>
  </si>
  <si>
    <t>BHOOPENDRA SINGH RAWAT</t>
  </si>
  <si>
    <t>NATHURAM SINGH RAWAT</t>
  </si>
  <si>
    <t>SANTI BAHI</t>
  </si>
  <si>
    <t xml:space="preserve">1234 1234 1234 </t>
  </si>
  <si>
    <t>ASDFG12345</t>
  </si>
  <si>
    <t>MP20D0018674</t>
  </si>
  <si>
    <t>SEARCH</t>
  </si>
  <si>
    <t>13/4/2019</t>
  </si>
  <si>
    <t>LP/000000002</t>
  </si>
  <si>
    <t>ANKIT 1234</t>
  </si>
  <si>
    <t>MAMTA SONI</t>
  </si>
  <si>
    <t xml:space="preserve">1235 1252 5252 </t>
  </si>
  <si>
    <t>ASEDR85296</t>
  </si>
  <si>
    <t>14/2/2019</t>
  </si>
  <si>
    <t>MP20D0018675</t>
  </si>
  <si>
    <t>LP/000000003</t>
  </si>
  <si>
    <t>PREETAM SINGH RANA</t>
  </si>
  <si>
    <t>CHITRA SINGH RANA</t>
  </si>
  <si>
    <t>JANKI BHAI</t>
  </si>
  <si>
    <t>8964 1817 8380</t>
  </si>
  <si>
    <t>DHOPR1833N</t>
  </si>
  <si>
    <t>24/4/2019</t>
  </si>
  <si>
    <t>MP20D0021948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</si>
</sst>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m/d/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Calibri"/>
      <family val="2"/>
    </font>
    <font>
      <sz val="26"/>
      <color theme="3" tint="0.39997558519241921"/>
      <name val="Blackadder ITC"/>
      <family val="5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22"/>
      <color theme="0"/>
      <name val="Algerian"/>
      <family val="5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0" xfId="0" applyFont="1" applyFill="1" applyBorder="1" applyAlignment="1">
      <alignment horizontal="center" vertical="top"/>
    </xf>
    <xf numFmtId="0" fontId="5" fillId="2" borderId="0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164" fontId="5" fillId="3" borderId="0" xfId="0" applyNumberFormat="1" applyFont="1" applyFill="1" applyBorder="1" applyAlignment="1">
      <alignment horizontal="center" vertical="top"/>
    </xf>
    <xf numFmtId="0" fontId="5" fillId="0" borderId="0" xfId="0" applyFont="1"/>
    <xf numFmtId="0" fontId="0" fillId="0" borderId="0" xfId="0" applyBorder="1" applyAlignment="1"/>
    <xf numFmtId="0" fontId="0" fillId="0" borderId="0" xfId="0" applyFont="1" applyBorder="1" applyAlignment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17" fillId="4" borderId="0" xfId="0" applyFont="1" applyFill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4" borderId="2" xfId="1" applyFill="1" applyBorder="1" applyAlignment="1">
      <alignment horizontal="center" vertical="center"/>
    </xf>
    <xf numFmtId="0" fontId="1" fillId="4" borderId="8" xfId="1" applyFill="1" applyBorder="1" applyAlignment="1">
      <alignment horizontal="center" vertical="center"/>
    </xf>
    <xf numFmtId="0" fontId="1" fillId="4" borderId="3" xfId="1" applyFill="1" applyBorder="1" applyAlignment="1">
      <alignment horizontal="center" vertical="center"/>
    </xf>
    <xf numFmtId="0" fontId="1" fillId="4" borderId="4" xfId="1" applyFill="1" applyBorder="1" applyAlignment="1">
      <alignment horizontal="center" vertical="center"/>
    </xf>
    <xf numFmtId="0" fontId="1" fillId="4" borderId="0" xfId="1" applyFill="1" applyBorder="1" applyAlignment="1">
      <alignment horizontal="center" vertical="center"/>
    </xf>
    <xf numFmtId="0" fontId="1" fillId="4" borderId="5" xfId="1" applyFill="1" applyBorder="1" applyAlignment="1">
      <alignment horizontal="center" vertical="center"/>
    </xf>
    <xf numFmtId="0" fontId="1" fillId="4" borderId="6" xfId="1" applyFill="1" applyBorder="1" applyAlignment="1">
      <alignment horizontal="center" vertical="center"/>
    </xf>
    <xf numFmtId="0" fontId="1" fillId="4" borderId="11" xfId="1" applyFill="1" applyBorder="1" applyAlignment="1">
      <alignment horizontal="center" vertical="center"/>
    </xf>
    <xf numFmtId="0" fontId="1" fillId="4" borderId="7" xfId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/>
    <xf numFmtId="0" fontId="2" fillId="0" borderId="4" xfId="0" applyFont="1" applyBorder="1"/>
    <xf numFmtId="0" fontId="2" fillId="0" borderId="0" xfId="0" applyFont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0" xfId="0" applyBorder="1"/>
    <xf numFmtId="165" fontId="0" fillId="0" borderId="0" xfId="0" applyNumberFormat="1" applyBorder="1"/>
    <xf numFmtId="0" fontId="10" fillId="0" borderId="0" xfId="0" applyFont="1" applyBorder="1" applyAlignment="1">
      <alignment horizontal="center" vertical="center"/>
    </xf>
    <xf numFmtId="0" fontId="0" fillId="0" borderId="1" xfId="0" applyBorder="1"/>
    <xf numFmtId="0" fontId="11" fillId="0" borderId="4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0" fillId="0" borderId="9" xfId="0" applyBorder="1"/>
    <xf numFmtId="14" fontId="0" fillId="0" borderId="14" xfId="0" applyNumberFormat="1" applyBorder="1" applyAlignment="1">
      <alignment horizontal="left"/>
    </xf>
    <xf numFmtId="14" fontId="0" fillId="0" borderId="15" xfId="0" applyNumberFormat="1" applyBorder="1" applyAlignment="1">
      <alignment horizontal="left"/>
    </xf>
    <xf numFmtId="14" fontId="0" fillId="0" borderId="13" xfId="0" applyNumberForma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19" fillId="0" borderId="1" xfId="0" applyFont="1" applyBorder="1" applyAlignment="1"/>
    <xf numFmtId="0" fontId="0" fillId="0" borderId="10" xfId="0" applyBorder="1"/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15" fillId="0" borderId="4" xfId="0" applyFont="1" applyBorder="1" applyAlignment="1">
      <alignment horizontal="right" vertical="center"/>
    </xf>
    <xf numFmtId="0" fontId="14" fillId="0" borderId="0" xfId="0" applyFont="1" applyBorder="1" applyAlignment="1">
      <alignment horizontal="right" vertical="center"/>
    </xf>
    <xf numFmtId="0" fontId="14" fillId="0" borderId="5" xfId="0" applyFont="1" applyBorder="1" applyAlignment="1">
      <alignment horizontal="right" vertical="center"/>
    </xf>
    <xf numFmtId="0" fontId="14" fillId="0" borderId="4" xfId="0" applyFont="1" applyBorder="1" applyAlignment="1">
      <alignment horizontal="right" vertical="center"/>
    </xf>
    <xf numFmtId="0" fontId="0" fillId="0" borderId="4" xfId="0" applyBorder="1" applyAlignment="1"/>
    <xf numFmtId="0" fontId="0" fillId="0" borderId="0" xfId="0" applyBorder="1" applyAlignment="1"/>
    <xf numFmtId="0" fontId="0" fillId="0" borderId="4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12" fillId="0" borderId="4" xfId="0" applyFont="1" applyBorder="1" applyAlignment="1">
      <alignment horizontal="center" vertical="top"/>
    </xf>
    <xf numFmtId="0" fontId="12" fillId="0" borderId="0" xfId="0" applyFont="1" applyBorder="1" applyAlignment="1">
      <alignment horizontal="center" vertical="top"/>
    </xf>
    <xf numFmtId="0" fontId="12" fillId="0" borderId="5" xfId="0" applyFont="1" applyBorder="1" applyAlignment="1">
      <alignment horizontal="center" vertical="top"/>
    </xf>
    <xf numFmtId="0" fontId="13" fillId="0" borderId="4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5" fillId="0" borderId="0" xfId="0" applyFont="1" applyBorder="1" applyAlignment="1">
      <alignment horizontal="right" vertical="center"/>
    </xf>
    <xf numFmtId="0" fontId="15" fillId="0" borderId="5" xfId="0" applyFont="1" applyBorder="1" applyAlignment="1">
      <alignment horizontal="right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11" fillId="0" borderId="5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0" fillId="0" borderId="4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3E92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Raj\Desktop\State%20Bank%20of%20India.lnk" TargetMode="External"/><Relationship Id="rId2" Type="http://schemas.openxmlformats.org/officeDocument/2006/relationships/hyperlink" Target="#DEMO!A1"/><Relationship Id="rId1" Type="http://schemas.openxmlformats.org/officeDocument/2006/relationships/image" Target="../media/image1.jpg"/><Relationship Id="rId5" Type="http://schemas.openxmlformats.org/officeDocument/2006/relationships/image" Target="../media/image2.jpg"/><Relationship Id="rId4" Type="http://schemas.openxmlformats.org/officeDocument/2006/relationships/hyperlink" Target="#'LOAN FORM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36907</xdr:colOff>
      <xdr:row>0</xdr:row>
      <xdr:rowOff>0</xdr:rowOff>
    </xdr:from>
    <xdr:to>
      <xdr:col>21</xdr:col>
      <xdr:colOff>31750</xdr:colOff>
      <xdr:row>38</xdr:row>
      <xdr:rowOff>114300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07" y="0"/>
          <a:ext cx="12663093" cy="7353300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4</xdr:row>
      <xdr:rowOff>19050</xdr:rowOff>
    </xdr:from>
    <xdr:to>
      <xdr:col>4</xdr:col>
      <xdr:colOff>438150</xdr:colOff>
      <xdr:row>8</xdr:row>
      <xdr:rowOff>9525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638175" y="781050"/>
          <a:ext cx="2238375" cy="752475"/>
        </a:xfrm>
        <a:prstGeom prst="roundRect">
          <a:avLst/>
        </a:prstGeom>
        <a:solidFill>
          <a:srgbClr val="23E92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APLLY LOAN FORM</a:t>
          </a:r>
        </a:p>
      </xdr:txBody>
    </xdr:sp>
    <xdr:clientData/>
  </xdr:twoCellAnchor>
  <xdr:twoCellAnchor>
    <xdr:from>
      <xdr:col>1</xdr:col>
      <xdr:colOff>38100</xdr:colOff>
      <xdr:row>14</xdr:row>
      <xdr:rowOff>133350</xdr:rowOff>
    </xdr:from>
    <xdr:to>
      <xdr:col>4</xdr:col>
      <xdr:colOff>447675</xdr:colOff>
      <xdr:row>18</xdr:row>
      <xdr:rowOff>123825</xdr:rowOff>
    </xdr:to>
    <xdr:sp macro="" textlink="">
      <xdr:nvSpPr>
        <xdr:cNvPr id="4" name="Rounded Rectangle 3"/>
        <xdr:cNvSpPr/>
      </xdr:nvSpPr>
      <xdr:spPr>
        <a:xfrm>
          <a:off x="647700" y="2800350"/>
          <a:ext cx="2238375" cy="752475"/>
        </a:xfrm>
        <a:prstGeom prst="roundRect">
          <a:avLst/>
        </a:prstGeom>
        <a:solidFill>
          <a:srgbClr val="23E92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APPLY JOB FORM</a:t>
          </a:r>
        </a:p>
      </xdr:txBody>
    </xdr:sp>
    <xdr:clientData/>
  </xdr:twoCellAnchor>
  <xdr:twoCellAnchor>
    <xdr:from>
      <xdr:col>8</xdr:col>
      <xdr:colOff>552450</xdr:colOff>
      <xdr:row>3</xdr:row>
      <xdr:rowOff>180975</xdr:rowOff>
    </xdr:from>
    <xdr:to>
      <xdr:col>12</xdr:col>
      <xdr:colOff>352425</xdr:colOff>
      <xdr:row>7</xdr:row>
      <xdr:rowOff>171450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429250" y="752475"/>
          <a:ext cx="2238375" cy="752475"/>
        </a:xfrm>
        <a:prstGeom prst="roundRect">
          <a:avLst/>
        </a:prstGeom>
        <a:solidFill>
          <a:srgbClr val="23E92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MAKE PAYMENT</a:t>
          </a:r>
        </a:p>
      </xdr:txBody>
    </xdr:sp>
    <xdr:clientData/>
  </xdr:twoCellAnchor>
  <xdr:twoCellAnchor>
    <xdr:from>
      <xdr:col>16</xdr:col>
      <xdr:colOff>133350</xdr:colOff>
      <xdr:row>4</xdr:row>
      <xdr:rowOff>76200</xdr:rowOff>
    </xdr:from>
    <xdr:to>
      <xdr:col>19</xdr:col>
      <xdr:colOff>542925</xdr:colOff>
      <xdr:row>8</xdr:row>
      <xdr:rowOff>66675</xdr:rowOff>
    </xdr:to>
    <xdr:sp macro="" textlink="">
      <xdr:nvSpPr>
        <xdr:cNvPr id="6" name="Rounded Rectangle 5">
          <a:hlinkClick xmlns:r="http://schemas.openxmlformats.org/officeDocument/2006/relationships" r:id="rId4"/>
        </xdr:cNvPr>
        <xdr:cNvSpPr/>
      </xdr:nvSpPr>
      <xdr:spPr>
        <a:xfrm>
          <a:off x="9886950" y="838200"/>
          <a:ext cx="2238375" cy="752475"/>
        </a:xfrm>
        <a:prstGeom prst="roundRect">
          <a:avLst/>
        </a:prstGeom>
        <a:solidFill>
          <a:srgbClr val="23E92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PRINT LOAN  FORM</a:t>
          </a:r>
        </a:p>
      </xdr:txBody>
    </xdr:sp>
    <xdr:clientData/>
  </xdr:twoCellAnchor>
  <xdr:twoCellAnchor>
    <xdr:from>
      <xdr:col>16</xdr:col>
      <xdr:colOff>133350</xdr:colOff>
      <xdr:row>14</xdr:row>
      <xdr:rowOff>133350</xdr:rowOff>
    </xdr:from>
    <xdr:to>
      <xdr:col>19</xdr:col>
      <xdr:colOff>542925</xdr:colOff>
      <xdr:row>18</xdr:row>
      <xdr:rowOff>123825</xdr:rowOff>
    </xdr:to>
    <xdr:sp macro="" textlink="">
      <xdr:nvSpPr>
        <xdr:cNvPr id="7" name="Rounded Rectangle 6"/>
        <xdr:cNvSpPr/>
      </xdr:nvSpPr>
      <xdr:spPr>
        <a:xfrm>
          <a:off x="9886950" y="2800350"/>
          <a:ext cx="2238375" cy="752475"/>
        </a:xfrm>
        <a:prstGeom prst="roundRect">
          <a:avLst/>
        </a:prstGeom>
        <a:solidFill>
          <a:srgbClr val="23E92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PRINT JOB FORM</a:t>
          </a:r>
        </a:p>
      </xdr:txBody>
    </xdr:sp>
    <xdr:clientData/>
  </xdr:twoCellAnchor>
  <xdr:twoCellAnchor editAs="oneCell">
    <xdr:from>
      <xdr:col>8</xdr:col>
      <xdr:colOff>219075</xdr:colOff>
      <xdr:row>11</xdr:row>
      <xdr:rowOff>66675</xdr:rowOff>
    </xdr:from>
    <xdr:to>
      <xdr:col>12</xdr:col>
      <xdr:colOff>574675</xdr:colOff>
      <xdr:row>19</xdr:row>
      <xdr:rowOff>117475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2162175"/>
          <a:ext cx="2794000" cy="157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9526</xdr:rowOff>
    </xdr:from>
    <xdr:to>
      <xdr:col>2</xdr:col>
      <xdr:colOff>247650</xdr:colOff>
      <xdr:row>4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00026"/>
          <a:ext cx="1447800" cy="714374"/>
        </a:xfrm>
        <a:prstGeom prst="rect">
          <a:avLst/>
        </a:prstGeom>
      </xdr:spPr>
    </xdr:pic>
    <xdr:clientData/>
  </xdr:twoCellAnchor>
  <xdr:twoCellAnchor>
    <xdr:from>
      <xdr:col>11</xdr:col>
      <xdr:colOff>24850</xdr:colOff>
      <xdr:row>2</xdr:row>
      <xdr:rowOff>74551</xdr:rowOff>
    </xdr:from>
    <xdr:to>
      <xdr:col>13</xdr:col>
      <xdr:colOff>381003</xdr:colOff>
      <xdr:row>4</xdr:row>
      <xdr:rowOff>165660</xdr:rowOff>
    </xdr:to>
    <xdr:sp macro="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6419024" y="463834"/>
          <a:ext cx="1581979" cy="4721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1"/>
              </a:solidFill>
              <a:latin typeface="Algerian" pitchFamily="82" charset="0"/>
            </a:rPr>
            <a:t>HOME</a:t>
          </a:r>
          <a:r>
            <a:rPr lang="en-US" sz="1800" baseline="0">
              <a:solidFill>
                <a:schemeClr val="accent1"/>
              </a:solidFill>
              <a:latin typeface="Algerian" pitchFamily="82" charset="0"/>
            </a:rPr>
            <a:t> </a:t>
          </a:r>
          <a:r>
            <a:rPr lang="en-US" sz="1800" baseline="0">
              <a:solidFill>
                <a:schemeClr val="accent1"/>
              </a:solidFill>
              <a:latin typeface="Aharoni" pitchFamily="2" charset="-79"/>
              <a:cs typeface="Aharoni" pitchFamily="2" charset="-79"/>
            </a:rPr>
            <a:t>PAGE</a:t>
          </a:r>
          <a:endParaRPr lang="en-US" sz="1800">
            <a:solidFill>
              <a:schemeClr val="accent1"/>
            </a:solidFill>
            <a:latin typeface="Aharoni" pitchFamily="2" charset="-79"/>
            <a:cs typeface="Aharoni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-0.249977111117893"/>
  </sheetPr>
  <dimension ref="A1"/>
  <sheetViews>
    <sheetView zoomScaleNormal="100" workbookViewId="0"/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22"/>
  <sheetViews>
    <sheetView workbookViewId="0">
      <selection activeCell="I2" sqref="I2:K4"/>
    </sheetView>
  </sheetViews>
  <sheetFormatPr defaultRowHeight="15" x14ac:dyDescent="0.25"/>
  <cols>
    <col min="1" max="1" width="4.7109375" bestFit="1" customWidth="1"/>
    <col min="2" max="2" width="16.42578125" bestFit="1" customWidth="1"/>
    <col min="3" max="3" width="27.5703125" bestFit="1" customWidth="1"/>
    <col min="4" max="4" width="33.28515625" bestFit="1" customWidth="1"/>
    <col min="5" max="6" width="19.85546875" bestFit="1" customWidth="1"/>
    <col min="7" max="7" width="16.42578125" bestFit="1" customWidth="1"/>
    <col min="8" max="8" width="14.85546875" bestFit="1" customWidth="1"/>
  </cols>
  <sheetData>
    <row r="1" spans="1:11" ht="21.75" thickBot="1" x14ac:dyDescent="0.3">
      <c r="A1" s="1" t="s">
        <v>1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</row>
    <row r="2" spans="1:11" ht="18.75" x14ac:dyDescent="0.25">
      <c r="A2" s="2">
        <v>1</v>
      </c>
      <c r="B2" s="3" t="s">
        <v>12</v>
      </c>
      <c r="C2" s="3" t="s">
        <v>13</v>
      </c>
      <c r="D2" s="3" t="s">
        <v>14</v>
      </c>
      <c r="E2" s="3"/>
      <c r="F2" s="3" t="s">
        <v>15</v>
      </c>
      <c r="G2" s="3">
        <v>7747936336</v>
      </c>
      <c r="H2" s="4" t="s">
        <v>16</v>
      </c>
      <c r="I2" s="16" t="s">
        <v>117</v>
      </c>
      <c r="J2" s="17"/>
      <c r="K2" s="18"/>
    </row>
    <row r="3" spans="1:11" ht="18.75" x14ac:dyDescent="0.25">
      <c r="A3" s="2">
        <v>2</v>
      </c>
      <c r="B3" s="3" t="s">
        <v>17</v>
      </c>
      <c r="C3" s="3" t="s">
        <v>18</v>
      </c>
      <c r="D3" s="3" t="s">
        <v>19</v>
      </c>
      <c r="E3" s="3"/>
      <c r="F3" s="3" t="s">
        <v>20</v>
      </c>
      <c r="G3" s="3">
        <v>9285481805</v>
      </c>
      <c r="H3" s="4" t="s">
        <v>16</v>
      </c>
      <c r="I3" s="19"/>
      <c r="J3" s="20"/>
      <c r="K3" s="21"/>
    </row>
    <row r="4" spans="1:11" ht="19.5" thickBot="1" x14ac:dyDescent="0.3">
      <c r="A4" s="2">
        <v>3</v>
      </c>
      <c r="B4" s="3" t="s">
        <v>21</v>
      </c>
      <c r="C4" s="3" t="s">
        <v>22</v>
      </c>
      <c r="D4" s="3" t="s">
        <v>23</v>
      </c>
      <c r="E4" s="3"/>
      <c r="F4" s="3" t="s">
        <v>24</v>
      </c>
      <c r="G4" s="3">
        <v>7000155743</v>
      </c>
      <c r="H4" s="4" t="s">
        <v>25</v>
      </c>
      <c r="I4" s="22"/>
      <c r="J4" s="23"/>
      <c r="K4" s="24"/>
    </row>
    <row r="5" spans="1:11" ht="18.75" x14ac:dyDescent="0.25">
      <c r="A5" s="2">
        <v>4</v>
      </c>
      <c r="B5" s="3" t="s">
        <v>26</v>
      </c>
      <c r="C5" s="3" t="s">
        <v>2</v>
      </c>
      <c r="D5" s="3" t="s">
        <v>44</v>
      </c>
      <c r="E5" s="3" t="s">
        <v>45</v>
      </c>
      <c r="F5" s="3" t="s">
        <v>46</v>
      </c>
      <c r="G5" s="3" t="s">
        <v>47</v>
      </c>
      <c r="H5" s="4" t="s">
        <v>48</v>
      </c>
    </row>
    <row r="6" spans="1:11" ht="18.75" x14ac:dyDescent="0.3">
      <c r="A6" s="2">
        <v>5</v>
      </c>
      <c r="B6" s="3" t="s">
        <v>27</v>
      </c>
      <c r="C6" s="5" t="s">
        <v>49</v>
      </c>
      <c r="D6" s="5" t="s">
        <v>50</v>
      </c>
      <c r="E6" s="5" t="s">
        <v>51</v>
      </c>
      <c r="F6" s="5" t="s">
        <v>52</v>
      </c>
      <c r="G6" s="5">
        <v>8964916621</v>
      </c>
      <c r="H6" s="4" t="s">
        <v>53</v>
      </c>
    </row>
    <row r="7" spans="1:11" ht="18.75" x14ac:dyDescent="0.3">
      <c r="A7" s="2">
        <v>6</v>
      </c>
      <c r="B7" s="3" t="s">
        <v>28</v>
      </c>
      <c r="C7" s="5"/>
      <c r="D7" s="5"/>
      <c r="E7" s="5"/>
      <c r="F7" s="5"/>
      <c r="G7" s="5"/>
    </row>
    <row r="8" spans="1:11" ht="18.75" x14ac:dyDescent="0.3">
      <c r="A8" s="2">
        <v>7</v>
      </c>
      <c r="B8" s="3" t="s">
        <v>29</v>
      </c>
      <c r="C8" s="5"/>
      <c r="D8" s="5"/>
      <c r="E8" s="5"/>
      <c r="F8" s="5"/>
      <c r="G8" s="5"/>
    </row>
    <row r="9" spans="1:11" ht="18.75" x14ac:dyDescent="0.3">
      <c r="A9" s="2">
        <v>8</v>
      </c>
      <c r="B9" s="3" t="s">
        <v>30</v>
      </c>
      <c r="C9" s="5"/>
      <c r="D9" s="5"/>
      <c r="E9" s="5"/>
      <c r="F9" s="5"/>
      <c r="G9" s="5"/>
    </row>
    <row r="10" spans="1:11" ht="18.75" x14ac:dyDescent="0.3">
      <c r="A10" s="2">
        <v>9</v>
      </c>
      <c r="B10" s="3" t="s">
        <v>31</v>
      </c>
      <c r="C10" s="5"/>
      <c r="D10" s="5"/>
      <c r="E10" s="5"/>
      <c r="F10" s="5"/>
      <c r="G10" s="5"/>
    </row>
    <row r="11" spans="1:11" ht="18.75" x14ac:dyDescent="0.3">
      <c r="A11" s="2">
        <v>10</v>
      </c>
      <c r="B11" s="3" t="s">
        <v>32</v>
      </c>
      <c r="C11" s="5"/>
      <c r="D11" s="5"/>
      <c r="E11" s="5"/>
      <c r="F11" s="5"/>
      <c r="G11" s="5"/>
    </row>
    <row r="12" spans="1:11" ht="18.75" x14ac:dyDescent="0.3">
      <c r="A12" s="2">
        <v>11</v>
      </c>
      <c r="B12" s="3" t="s">
        <v>33</v>
      </c>
      <c r="C12" s="5"/>
      <c r="D12" s="5"/>
      <c r="E12" s="5"/>
      <c r="F12" s="5"/>
      <c r="G12" s="5"/>
    </row>
    <row r="13" spans="1:11" ht="18.75" x14ac:dyDescent="0.3">
      <c r="A13" s="2">
        <v>12</v>
      </c>
      <c r="B13" s="3" t="s">
        <v>34</v>
      </c>
      <c r="C13" s="5"/>
      <c r="D13" s="5"/>
      <c r="E13" s="5"/>
      <c r="F13" s="5"/>
      <c r="G13" s="5"/>
    </row>
    <row r="14" spans="1:11" ht="18.75" x14ac:dyDescent="0.3">
      <c r="A14" s="2">
        <v>13</v>
      </c>
      <c r="B14" s="3" t="s">
        <v>35</v>
      </c>
      <c r="C14" s="5"/>
      <c r="D14" s="5"/>
      <c r="E14" s="5"/>
      <c r="F14" s="5"/>
      <c r="G14" s="5"/>
    </row>
    <row r="15" spans="1:11" ht="18.75" x14ac:dyDescent="0.3">
      <c r="A15" s="2">
        <v>14</v>
      </c>
      <c r="B15" s="3" t="s">
        <v>36</v>
      </c>
      <c r="C15" s="5"/>
      <c r="D15" s="5"/>
      <c r="E15" s="5"/>
      <c r="F15" s="5"/>
      <c r="G15" s="5"/>
    </row>
    <row r="16" spans="1:11" ht="18.75" x14ac:dyDescent="0.3">
      <c r="A16" s="2">
        <v>15</v>
      </c>
      <c r="B16" s="3" t="s">
        <v>37</v>
      </c>
      <c r="C16" s="5"/>
      <c r="D16" s="5"/>
      <c r="E16" s="5"/>
      <c r="F16" s="5"/>
      <c r="G16" s="5"/>
    </row>
    <row r="17" spans="1:10" ht="18.75" x14ac:dyDescent="0.3">
      <c r="A17" s="2">
        <v>16</v>
      </c>
      <c r="B17" s="3" t="s">
        <v>38</v>
      </c>
      <c r="C17" s="5"/>
      <c r="D17" s="5"/>
      <c r="E17" s="5"/>
      <c r="F17" s="5"/>
      <c r="G17" s="5"/>
      <c r="J17" t="s">
        <v>54</v>
      </c>
    </row>
    <row r="18" spans="1:10" ht="18.75" x14ac:dyDescent="0.3">
      <c r="A18" s="2">
        <v>17</v>
      </c>
      <c r="B18" s="3" t="s">
        <v>39</v>
      </c>
      <c r="C18" s="5"/>
      <c r="D18" s="5"/>
      <c r="E18" s="5"/>
      <c r="F18" s="5"/>
      <c r="G18" s="5"/>
    </row>
    <row r="19" spans="1:10" ht="18.75" x14ac:dyDescent="0.3">
      <c r="A19" s="2">
        <v>18</v>
      </c>
      <c r="B19" s="3" t="s">
        <v>40</v>
      </c>
      <c r="C19" s="5"/>
      <c r="D19" s="5"/>
      <c r="E19" s="5"/>
      <c r="F19" s="5"/>
      <c r="G19" s="5"/>
    </row>
    <row r="20" spans="1:10" ht="18.75" x14ac:dyDescent="0.3">
      <c r="A20" s="2">
        <v>19</v>
      </c>
      <c r="B20" s="3" t="s">
        <v>41</v>
      </c>
      <c r="C20" s="5"/>
      <c r="D20" s="5"/>
      <c r="E20" s="5"/>
      <c r="F20" s="5"/>
      <c r="G20" s="5"/>
    </row>
    <row r="21" spans="1:10" ht="18.75" x14ac:dyDescent="0.3">
      <c r="B21" s="3" t="s">
        <v>42</v>
      </c>
      <c r="C21" s="5"/>
      <c r="D21" s="5"/>
      <c r="E21" s="5"/>
      <c r="F21" s="5"/>
      <c r="G21" s="5"/>
    </row>
    <row r="22" spans="1:10" ht="18.75" x14ac:dyDescent="0.3">
      <c r="B22" s="3" t="s">
        <v>43</v>
      </c>
      <c r="C22" s="5"/>
      <c r="D22" s="5"/>
      <c r="E22" s="5"/>
      <c r="F22" s="5"/>
      <c r="G22" s="5"/>
    </row>
  </sheetData>
  <mergeCells count="1">
    <mergeCell ref="I2:K4"/>
  </mergeCells>
  <hyperlinks>
    <hyperlink ref="I2:K4" location="DASHBOARD!A1" display="HOME PAGE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101"/>
  <sheetViews>
    <sheetView tabSelected="1" zoomScale="115" zoomScaleNormal="115" workbookViewId="0">
      <selection activeCell="H17" sqref="H17:J17"/>
    </sheetView>
  </sheetViews>
  <sheetFormatPr defaultRowHeight="15" x14ac:dyDescent="0.25"/>
  <cols>
    <col min="3" max="3" width="4" customWidth="1"/>
    <col min="14" max="14" width="5.7109375" customWidth="1"/>
  </cols>
  <sheetData>
    <row r="1" spans="1:14" ht="15.75" x14ac:dyDescent="0.25">
      <c r="A1" s="39" t="s">
        <v>4</v>
      </c>
      <c r="B1" s="40"/>
      <c r="C1" s="40"/>
      <c r="D1" s="40"/>
      <c r="E1" s="40"/>
      <c r="F1" s="40"/>
      <c r="G1" s="40"/>
      <c r="H1" s="40"/>
      <c r="I1" s="40"/>
      <c r="J1" s="41"/>
      <c r="L1" s="13"/>
      <c r="M1" s="13"/>
      <c r="N1" s="13"/>
    </row>
    <row r="2" spans="1:14" x14ac:dyDescent="0.25">
      <c r="A2" s="25"/>
      <c r="B2" s="26"/>
      <c r="C2" s="26"/>
      <c r="D2" s="42" t="s">
        <v>55</v>
      </c>
      <c r="E2" s="43"/>
      <c r="F2" s="43"/>
      <c r="G2" s="43"/>
      <c r="H2" s="43"/>
      <c r="I2" s="43"/>
      <c r="J2" s="44"/>
      <c r="L2" s="13"/>
      <c r="M2" s="13"/>
      <c r="N2" s="13"/>
    </row>
    <row r="3" spans="1:14" x14ac:dyDescent="0.25">
      <c r="A3" s="25"/>
      <c r="B3" s="26"/>
      <c r="C3" s="26"/>
      <c r="D3" s="43"/>
      <c r="E3" s="43"/>
      <c r="F3" s="43"/>
      <c r="G3" s="43"/>
      <c r="H3" s="43"/>
      <c r="I3" s="43"/>
      <c r="J3" s="44"/>
    </row>
    <row r="4" spans="1:14" x14ac:dyDescent="0.25">
      <c r="A4" s="25"/>
      <c r="B4" s="26"/>
      <c r="C4" s="26"/>
      <c r="D4" s="43"/>
      <c r="E4" s="43"/>
      <c r="F4" s="43"/>
      <c r="G4" s="43"/>
      <c r="H4" s="43"/>
      <c r="I4" s="43"/>
      <c r="J4" s="44"/>
    </row>
    <row r="5" spans="1:14" x14ac:dyDescent="0.25">
      <c r="A5" s="25"/>
      <c r="B5" s="26"/>
      <c r="C5" s="26"/>
      <c r="D5" s="43"/>
      <c r="E5" s="43"/>
      <c r="F5" s="43"/>
      <c r="G5" s="43"/>
      <c r="H5" s="43"/>
      <c r="I5" s="43"/>
      <c r="J5" s="44"/>
    </row>
    <row r="6" spans="1:14" ht="16.5" thickBot="1" x14ac:dyDescent="0.3">
      <c r="A6" s="45" t="s">
        <v>56</v>
      </c>
      <c r="B6" s="46"/>
      <c r="C6" s="46"/>
      <c r="D6" s="46"/>
      <c r="E6" s="46"/>
      <c r="F6" s="46"/>
      <c r="G6" s="46"/>
      <c r="H6" s="46"/>
      <c r="I6" s="46"/>
      <c r="J6" s="47"/>
    </row>
    <row r="7" spans="1:14" ht="15.75" x14ac:dyDescent="0.25">
      <c r="A7" s="45" t="s">
        <v>57</v>
      </c>
      <c r="B7" s="46"/>
      <c r="C7" s="46"/>
      <c r="D7" s="46"/>
      <c r="E7" s="46"/>
      <c r="F7" s="46"/>
      <c r="G7" s="46"/>
      <c r="H7" s="46"/>
      <c r="I7" s="54" t="s">
        <v>59</v>
      </c>
      <c r="J7" s="55"/>
      <c r="L7" s="97">
        <v>3</v>
      </c>
      <c r="M7" s="98"/>
      <c r="N7" s="99"/>
    </row>
    <row r="8" spans="1:14" ht="15.75" x14ac:dyDescent="0.25">
      <c r="A8" s="52" t="s">
        <v>58</v>
      </c>
      <c r="B8" s="53"/>
      <c r="C8" s="60" t="str">
        <f>VLOOKUP(L7,[0]!LOAN,2,0)</f>
        <v>LP/000000003</v>
      </c>
      <c r="D8" s="60"/>
      <c r="E8" s="60"/>
      <c r="F8" s="60"/>
      <c r="G8" s="60"/>
      <c r="H8" s="60"/>
      <c r="I8" s="56"/>
      <c r="J8" s="57"/>
      <c r="L8" s="100"/>
      <c r="M8" s="101"/>
      <c r="N8" s="102"/>
    </row>
    <row r="9" spans="1:14" ht="16.5" customHeight="1" thickBot="1" x14ac:dyDescent="0.3">
      <c r="A9" s="52" t="s">
        <v>11</v>
      </c>
      <c r="B9" s="53"/>
      <c r="C9" s="61" t="str">
        <f>VLOOKUP(L7,[0]!LOAN,11,0)</f>
        <v>24/4/2019</v>
      </c>
      <c r="D9" s="61"/>
      <c r="E9" s="61"/>
      <c r="F9" s="61"/>
      <c r="G9" s="61"/>
      <c r="H9" s="61"/>
      <c r="I9" s="56"/>
      <c r="J9" s="57"/>
      <c r="L9" s="103"/>
      <c r="M9" s="104"/>
      <c r="N9" s="105"/>
    </row>
    <row r="10" spans="1:14" x14ac:dyDescent="0.25">
      <c r="A10" s="25"/>
      <c r="B10" s="26"/>
      <c r="C10" s="62" t="s">
        <v>60</v>
      </c>
      <c r="D10" s="62"/>
      <c r="E10" s="62"/>
      <c r="F10" s="62"/>
      <c r="G10" s="62"/>
      <c r="H10" s="62"/>
      <c r="I10" s="56"/>
      <c r="J10" s="57"/>
      <c r="L10" s="106" t="s">
        <v>136</v>
      </c>
      <c r="M10" s="106"/>
      <c r="N10" s="106"/>
    </row>
    <row r="11" spans="1:14" x14ac:dyDescent="0.25">
      <c r="A11" s="25"/>
      <c r="B11" s="26"/>
      <c r="C11" s="62"/>
      <c r="D11" s="62"/>
      <c r="E11" s="62"/>
      <c r="F11" s="62"/>
      <c r="G11" s="62"/>
      <c r="H11" s="62"/>
      <c r="I11" s="56"/>
      <c r="J11" s="57"/>
      <c r="L11" s="107"/>
      <c r="M11" s="107"/>
      <c r="N11" s="107"/>
    </row>
    <row r="12" spans="1:14" ht="15.75" thickBot="1" x14ac:dyDescent="0.3">
      <c r="A12" s="25"/>
      <c r="B12" s="26"/>
      <c r="C12" s="62"/>
      <c r="D12" s="62"/>
      <c r="E12" s="62"/>
      <c r="F12" s="62"/>
      <c r="G12" s="62"/>
      <c r="H12" s="62"/>
      <c r="I12" s="58"/>
      <c r="J12" s="59"/>
      <c r="L12" s="107"/>
      <c r="M12" s="107"/>
      <c r="N12" s="107"/>
    </row>
    <row r="13" spans="1:14" ht="15.75" x14ac:dyDescent="0.25">
      <c r="A13" s="64" t="s">
        <v>76</v>
      </c>
      <c r="B13" s="65"/>
      <c r="C13" s="65"/>
      <c r="D13" s="65"/>
      <c r="E13" s="65"/>
      <c r="F13" s="65"/>
      <c r="G13" s="65"/>
      <c r="H13" s="65"/>
      <c r="I13" s="65"/>
      <c r="J13" s="66"/>
    </row>
    <row r="14" spans="1:14" x14ac:dyDescent="0.25">
      <c r="A14" s="69" t="s">
        <v>61</v>
      </c>
      <c r="B14" s="63"/>
      <c r="C14" s="75" t="str">
        <f>VLOOKUP(L7,[0]!LOAN,4,0)</f>
        <v>PREETAM SINGH RANA</v>
      </c>
      <c r="D14" s="75"/>
      <c r="E14" s="75"/>
      <c r="F14" s="63" t="s">
        <v>65</v>
      </c>
      <c r="G14" s="63"/>
      <c r="H14" s="63" t="str">
        <f>VLOOKUP(L7,[0]!LOAN,8,0)</f>
        <v>8964 1817 8380</v>
      </c>
      <c r="I14" s="63"/>
      <c r="J14" s="76"/>
    </row>
    <row r="15" spans="1:14" x14ac:dyDescent="0.25">
      <c r="A15" s="69" t="s">
        <v>63</v>
      </c>
      <c r="B15" s="63"/>
      <c r="C15" s="75" t="str">
        <f>VLOOKUP(L7,[0]!LOAN,5,0)</f>
        <v>CHITRA SINGH RANA</v>
      </c>
      <c r="D15" s="75"/>
      <c r="E15" s="75"/>
      <c r="F15" s="63" t="s">
        <v>70</v>
      </c>
      <c r="G15" s="63"/>
      <c r="H15" s="63" t="str">
        <f>VLOOKUP(L7,[0]!LOAN,9,0)</f>
        <v>DHOPR1833N</v>
      </c>
      <c r="I15" s="63"/>
      <c r="J15" s="76"/>
    </row>
    <row r="16" spans="1:14" x14ac:dyDescent="0.25">
      <c r="A16" s="69" t="s">
        <v>64</v>
      </c>
      <c r="B16" s="63"/>
      <c r="C16" s="51" t="str">
        <f>VLOOKUP(L7,[0]!LOAN,6,0)</f>
        <v>JANKI BHAI</v>
      </c>
      <c r="D16" s="51"/>
      <c r="E16" s="51"/>
      <c r="F16" s="63" t="s">
        <v>66</v>
      </c>
      <c r="G16" s="63"/>
      <c r="H16" s="77">
        <f>VLOOKUP(L7,[0]!LOAN,10,0)</f>
        <v>8319481484</v>
      </c>
      <c r="I16" s="78"/>
      <c r="J16" s="79"/>
    </row>
    <row r="17" spans="1:10" x14ac:dyDescent="0.25">
      <c r="A17" s="69" t="s">
        <v>62</v>
      </c>
      <c r="B17" s="63"/>
      <c r="C17" s="70">
        <f>VLOOKUP(L7,[0]!LOAN,7,0)</f>
        <v>28856</v>
      </c>
      <c r="D17" s="71"/>
      <c r="E17" s="72"/>
      <c r="F17" s="63" t="s">
        <v>67</v>
      </c>
      <c r="G17" s="63"/>
      <c r="H17" s="77">
        <v>9977420829</v>
      </c>
      <c r="I17" s="78"/>
      <c r="J17" s="79"/>
    </row>
    <row r="18" spans="1:10" x14ac:dyDescent="0.25">
      <c r="A18" s="88" t="s">
        <v>69</v>
      </c>
      <c r="B18" s="89"/>
      <c r="C18" s="51" t="str">
        <f>VLOOKUP(L7,[0]!LOAN,12,0)</f>
        <v>MP20D0021948</v>
      </c>
      <c r="D18" s="51"/>
      <c r="E18" s="51"/>
      <c r="F18" s="63" t="s">
        <v>68</v>
      </c>
      <c r="G18" s="63"/>
      <c r="H18" s="77">
        <f>VLOOKUP(L7,[0]!LOAN,13,0)</f>
        <v>475110</v>
      </c>
      <c r="I18" s="78"/>
      <c r="J18" s="79"/>
    </row>
    <row r="19" spans="1:10" x14ac:dyDescent="0.25">
      <c r="A19" s="25"/>
      <c r="B19" s="26"/>
      <c r="C19" s="26"/>
      <c r="D19" s="26"/>
      <c r="E19" s="26"/>
      <c r="F19" s="26"/>
      <c r="G19" s="26"/>
      <c r="H19" s="26"/>
      <c r="I19" s="26"/>
      <c r="J19" s="27"/>
    </row>
    <row r="20" spans="1:10" ht="15.75" x14ac:dyDescent="0.25">
      <c r="A20" s="48" t="s">
        <v>74</v>
      </c>
      <c r="B20" s="49"/>
      <c r="C20" s="49"/>
      <c r="D20" s="49"/>
      <c r="E20" s="49"/>
      <c r="F20" s="49" t="s">
        <v>91</v>
      </c>
      <c r="G20" s="49"/>
      <c r="H20" s="49"/>
      <c r="I20" s="49"/>
      <c r="J20" s="50"/>
    </row>
    <row r="21" spans="1:10" ht="15.75" x14ac:dyDescent="0.25">
      <c r="A21" s="48" t="s">
        <v>92</v>
      </c>
      <c r="B21" s="49"/>
      <c r="C21" s="49"/>
      <c r="D21" s="49"/>
      <c r="E21" s="49"/>
      <c r="F21" s="49"/>
      <c r="G21" s="49"/>
      <c r="H21" s="49"/>
      <c r="I21" s="49"/>
      <c r="J21" s="50"/>
    </row>
    <row r="22" spans="1:10" ht="15.75" x14ac:dyDescent="0.25">
      <c r="A22" s="48" t="s">
        <v>81</v>
      </c>
      <c r="B22" s="49"/>
      <c r="C22" s="49"/>
      <c r="D22" s="49"/>
      <c r="E22" s="49"/>
      <c r="F22" s="49"/>
      <c r="G22" s="49"/>
      <c r="H22" s="49"/>
      <c r="I22" s="49"/>
      <c r="J22" s="50"/>
    </row>
    <row r="23" spans="1:10" ht="15.75" x14ac:dyDescent="0.25">
      <c r="A23" s="48" t="s">
        <v>82</v>
      </c>
      <c r="B23" s="49"/>
      <c r="C23" s="49"/>
      <c r="D23" s="49"/>
      <c r="E23" s="49"/>
      <c r="F23" s="49"/>
      <c r="G23" s="49"/>
      <c r="H23" s="49"/>
      <c r="I23" s="49"/>
      <c r="J23" s="50"/>
    </row>
    <row r="24" spans="1:10" ht="15.75" x14ac:dyDescent="0.25">
      <c r="A24" s="48" t="s">
        <v>83</v>
      </c>
      <c r="B24" s="49"/>
      <c r="C24" s="49"/>
      <c r="D24" s="49"/>
      <c r="E24" s="49"/>
      <c r="F24" s="49"/>
      <c r="G24" s="49"/>
      <c r="H24" s="49"/>
      <c r="I24" s="49"/>
      <c r="J24" s="50"/>
    </row>
    <row r="25" spans="1:10" ht="15.75" x14ac:dyDescent="0.25">
      <c r="A25" s="48" t="s">
        <v>84</v>
      </c>
      <c r="B25" s="49"/>
      <c r="C25" s="49"/>
      <c r="D25" s="49"/>
      <c r="E25" s="49"/>
      <c r="F25" s="49"/>
      <c r="G25" s="49"/>
      <c r="H25" s="49"/>
      <c r="I25" s="49"/>
      <c r="J25" s="50"/>
    </row>
    <row r="26" spans="1:10" ht="15.75" x14ac:dyDescent="0.25">
      <c r="A26" s="48" t="s">
        <v>85</v>
      </c>
      <c r="B26" s="49"/>
      <c r="C26" s="49"/>
      <c r="D26" s="49"/>
      <c r="E26" s="49"/>
      <c r="F26" s="49"/>
      <c r="G26" s="49"/>
      <c r="H26" s="49"/>
      <c r="I26" s="49"/>
      <c r="J26" s="50"/>
    </row>
    <row r="27" spans="1:10" ht="15.75" x14ac:dyDescent="0.25">
      <c r="A27" s="48" t="s">
        <v>86</v>
      </c>
      <c r="B27" s="49"/>
      <c r="C27" s="49"/>
      <c r="D27" s="49"/>
      <c r="E27" s="49"/>
      <c r="F27" s="49"/>
      <c r="G27" s="49"/>
      <c r="H27" s="49"/>
      <c r="I27" s="49"/>
      <c r="J27" s="50"/>
    </row>
    <row r="28" spans="1:10" ht="15.75" x14ac:dyDescent="0.25">
      <c r="A28" s="48" t="s">
        <v>87</v>
      </c>
      <c r="B28" s="49"/>
      <c r="C28" s="49"/>
      <c r="D28" s="49"/>
      <c r="E28" s="49"/>
      <c r="F28" s="49"/>
      <c r="G28" s="49"/>
      <c r="H28" s="49"/>
      <c r="I28" s="49"/>
      <c r="J28" s="50"/>
    </row>
    <row r="29" spans="1:10" ht="15.75" x14ac:dyDescent="0.25">
      <c r="A29" s="48" t="s">
        <v>94</v>
      </c>
      <c r="B29" s="49"/>
      <c r="C29" s="49"/>
      <c r="D29" s="49"/>
      <c r="E29" s="49"/>
      <c r="F29" s="49"/>
      <c r="G29" s="49"/>
      <c r="H29" s="49"/>
      <c r="I29" s="49"/>
      <c r="J29" s="50"/>
    </row>
    <row r="30" spans="1:10" ht="15.75" x14ac:dyDescent="0.25">
      <c r="A30" s="48" t="s">
        <v>93</v>
      </c>
      <c r="B30" s="49"/>
      <c r="C30" s="49"/>
      <c r="D30" s="49"/>
      <c r="E30" s="49"/>
      <c r="F30" s="49"/>
      <c r="G30" s="49"/>
      <c r="H30" s="49"/>
      <c r="I30" s="49"/>
      <c r="J30" s="50"/>
    </row>
    <row r="31" spans="1:10" ht="15.75" x14ac:dyDescent="0.25">
      <c r="A31" s="48" t="s">
        <v>75</v>
      </c>
      <c r="B31" s="49"/>
      <c r="C31" s="49"/>
      <c r="D31" s="49"/>
      <c r="E31" s="49"/>
      <c r="F31" s="49"/>
      <c r="G31" s="49"/>
      <c r="H31" s="49"/>
      <c r="I31" s="49"/>
      <c r="J31" s="50"/>
    </row>
    <row r="32" spans="1:10" x14ac:dyDescent="0.25">
      <c r="A32" s="48" t="s">
        <v>88</v>
      </c>
      <c r="B32" s="49"/>
      <c r="C32" s="49"/>
      <c r="D32" s="49"/>
      <c r="E32" s="49"/>
      <c r="F32" s="49"/>
      <c r="G32" s="49"/>
      <c r="H32" s="49"/>
      <c r="I32" s="49"/>
      <c r="J32" s="50"/>
    </row>
    <row r="33" spans="1:11" ht="15.75" x14ac:dyDescent="0.25">
      <c r="A33" s="48" t="s">
        <v>95</v>
      </c>
      <c r="B33" s="49"/>
      <c r="C33" s="49"/>
      <c r="D33" s="49"/>
      <c r="E33" s="49"/>
      <c r="F33" s="49"/>
      <c r="G33" s="49"/>
      <c r="H33" s="49"/>
      <c r="I33" s="49"/>
      <c r="J33" s="50"/>
    </row>
    <row r="34" spans="1:11" ht="15.75" x14ac:dyDescent="0.25">
      <c r="A34" s="67" t="s">
        <v>77</v>
      </c>
      <c r="B34" s="68"/>
      <c r="C34" s="49"/>
      <c r="D34" s="49"/>
      <c r="E34" s="49"/>
      <c r="F34" s="49"/>
      <c r="G34" s="49"/>
      <c r="H34" s="49"/>
      <c r="I34" s="49"/>
      <c r="J34" s="50"/>
    </row>
    <row r="35" spans="1:11" x14ac:dyDescent="0.25">
      <c r="A35" s="84" t="s">
        <v>79</v>
      </c>
      <c r="B35" s="85"/>
      <c r="C35" s="85"/>
      <c r="D35" s="85"/>
      <c r="E35" s="49" t="s">
        <v>89</v>
      </c>
      <c r="F35" s="49"/>
      <c r="G35" s="49"/>
      <c r="H35" s="49"/>
      <c r="I35" s="49"/>
      <c r="J35" s="50"/>
    </row>
    <row r="36" spans="1:11" x14ac:dyDescent="0.25">
      <c r="A36" s="86" t="s">
        <v>80</v>
      </c>
      <c r="B36" s="87"/>
      <c r="C36" s="87"/>
      <c r="D36" s="87"/>
      <c r="E36" s="49" t="s">
        <v>90</v>
      </c>
      <c r="F36" s="49"/>
      <c r="G36" s="49"/>
      <c r="H36" s="49"/>
      <c r="I36" s="49"/>
      <c r="J36" s="50"/>
    </row>
    <row r="37" spans="1:11" ht="15" customHeight="1" x14ac:dyDescent="0.25">
      <c r="A37" s="80" t="s">
        <v>78</v>
      </c>
      <c r="B37" s="81"/>
      <c r="C37" s="81"/>
      <c r="D37" s="81"/>
      <c r="E37" s="81"/>
      <c r="F37" s="81"/>
      <c r="G37" s="81"/>
      <c r="H37" s="81"/>
      <c r="I37" s="81"/>
      <c r="J37" s="82"/>
    </row>
    <row r="38" spans="1:11" ht="18.75" customHeight="1" x14ac:dyDescent="0.25">
      <c r="A38" s="83"/>
      <c r="B38" s="81"/>
      <c r="C38" s="81"/>
      <c r="D38" s="81"/>
      <c r="E38" s="81"/>
      <c r="F38" s="81"/>
      <c r="G38" s="81"/>
      <c r="H38" s="81"/>
      <c r="I38" s="81"/>
      <c r="J38" s="82"/>
    </row>
    <row r="39" spans="1:11" ht="18.75" customHeight="1" x14ac:dyDescent="0.25">
      <c r="A39" s="90" t="s">
        <v>71</v>
      </c>
      <c r="B39" s="91"/>
      <c r="C39" s="91"/>
      <c r="D39" s="91"/>
      <c r="E39" s="91"/>
      <c r="F39" s="91"/>
      <c r="G39" s="91"/>
      <c r="H39" s="91"/>
      <c r="I39" s="91"/>
      <c r="J39" s="92"/>
    </row>
    <row r="40" spans="1:11" x14ac:dyDescent="0.25">
      <c r="A40" s="90"/>
      <c r="B40" s="91"/>
      <c r="C40" s="91"/>
      <c r="D40" s="91"/>
      <c r="E40" s="91"/>
      <c r="F40" s="91"/>
      <c r="G40" s="91"/>
      <c r="H40" s="91"/>
      <c r="I40" s="91"/>
      <c r="J40" s="92"/>
    </row>
    <row r="41" spans="1:11" ht="18.75" x14ac:dyDescent="0.3">
      <c r="A41" s="31" t="s">
        <v>72</v>
      </c>
      <c r="B41" s="32"/>
      <c r="C41" s="32"/>
      <c r="D41" s="32"/>
      <c r="E41" s="32"/>
      <c r="F41" s="32"/>
      <c r="G41" s="32"/>
      <c r="H41" s="32"/>
      <c r="I41" s="32"/>
      <c r="J41" s="33"/>
    </row>
    <row r="42" spans="1:11" x14ac:dyDescent="0.25">
      <c r="A42" s="93" t="s">
        <v>73</v>
      </c>
      <c r="B42" s="94"/>
      <c r="C42" s="94"/>
      <c r="D42" s="94"/>
      <c r="E42" s="94"/>
      <c r="F42" s="94"/>
      <c r="G42" s="94"/>
      <c r="H42" s="94"/>
      <c r="I42" s="94"/>
      <c r="J42" s="95"/>
    </row>
    <row r="43" spans="1:11" ht="21" customHeight="1" x14ac:dyDescent="0.25">
      <c r="A43" s="93"/>
      <c r="B43" s="94"/>
      <c r="C43" s="94"/>
      <c r="D43" s="94"/>
      <c r="E43" s="94"/>
      <c r="F43" s="94"/>
      <c r="G43" s="94"/>
      <c r="H43" s="94"/>
      <c r="I43" s="94"/>
      <c r="J43" s="95"/>
    </row>
    <row r="44" spans="1:11" x14ac:dyDescent="0.25">
      <c r="A44" s="93"/>
      <c r="B44" s="94"/>
      <c r="C44" s="94"/>
      <c r="D44" s="94"/>
      <c r="E44" s="94"/>
      <c r="F44" s="94"/>
      <c r="G44" s="94"/>
      <c r="H44" s="94"/>
      <c r="I44" s="94"/>
      <c r="J44" s="95"/>
    </row>
    <row r="45" spans="1:11" x14ac:dyDescent="0.25">
      <c r="A45" s="124" t="s">
        <v>96</v>
      </c>
      <c r="B45" s="125"/>
      <c r="C45" s="125"/>
      <c r="D45" s="125"/>
      <c r="E45" s="125"/>
      <c r="F45" s="125"/>
      <c r="G45" s="125"/>
      <c r="H45" s="125"/>
      <c r="I45" s="125"/>
      <c r="J45" s="126"/>
      <c r="K45" s="7"/>
    </row>
    <row r="46" spans="1:11" x14ac:dyDescent="0.25">
      <c r="A46" s="84" t="s">
        <v>97</v>
      </c>
      <c r="B46" s="85"/>
      <c r="C46" s="85"/>
      <c r="D46" s="85"/>
      <c r="E46" s="85"/>
      <c r="F46" s="85"/>
      <c r="G46" s="85"/>
      <c r="H46" s="85"/>
      <c r="I46" s="85"/>
      <c r="J46" s="96"/>
      <c r="K46" s="6"/>
    </row>
    <row r="47" spans="1:11" x14ac:dyDescent="0.25">
      <c r="A47" s="84" t="s">
        <v>98</v>
      </c>
      <c r="B47" s="85"/>
      <c r="C47" s="85"/>
      <c r="D47" s="85"/>
      <c r="E47" s="85"/>
      <c r="F47" s="85"/>
      <c r="G47" s="85"/>
      <c r="H47" s="85"/>
      <c r="I47" s="85"/>
      <c r="J47" s="96"/>
      <c r="K47" s="6"/>
    </row>
    <row r="48" spans="1:11" x14ac:dyDescent="0.25">
      <c r="A48" s="84" t="s">
        <v>99</v>
      </c>
      <c r="B48" s="85"/>
      <c r="C48" s="85"/>
      <c r="D48" s="85"/>
      <c r="E48" s="85"/>
      <c r="F48" s="85"/>
      <c r="G48" s="85"/>
      <c r="H48" s="85"/>
      <c r="I48" s="85"/>
      <c r="J48" s="96"/>
      <c r="K48" s="6"/>
    </row>
    <row r="49" spans="1:10" x14ac:dyDescent="0.25">
      <c r="A49" s="80" t="s">
        <v>78</v>
      </c>
      <c r="B49" s="81"/>
      <c r="C49" s="81"/>
      <c r="D49" s="81"/>
      <c r="E49" s="81"/>
      <c r="F49" s="81"/>
      <c r="G49" s="81"/>
      <c r="H49" s="81"/>
      <c r="I49" s="81"/>
      <c r="J49" s="82"/>
    </row>
    <row r="50" spans="1:10" ht="15.75" thickBot="1" x14ac:dyDescent="0.3">
      <c r="A50" s="83"/>
      <c r="B50" s="81"/>
      <c r="C50" s="81"/>
      <c r="D50" s="81"/>
      <c r="E50" s="81"/>
      <c r="F50" s="81"/>
      <c r="G50" s="81"/>
      <c r="H50" s="81"/>
      <c r="I50" s="81"/>
      <c r="J50" s="82"/>
    </row>
    <row r="51" spans="1:10" ht="15.75" x14ac:dyDescent="0.25">
      <c r="A51" s="122" t="s">
        <v>100</v>
      </c>
      <c r="B51" s="123"/>
      <c r="C51" s="123"/>
      <c r="D51" s="123"/>
      <c r="E51" s="73"/>
      <c r="F51" s="73"/>
      <c r="G51" s="73"/>
      <c r="H51" s="73"/>
      <c r="I51" s="73"/>
      <c r="J51" s="74"/>
    </row>
    <row r="52" spans="1:10" x14ac:dyDescent="0.25">
      <c r="A52" s="48" t="s">
        <v>101</v>
      </c>
      <c r="B52" s="49"/>
      <c r="C52" s="49"/>
      <c r="D52" s="49"/>
      <c r="E52" s="49"/>
      <c r="F52" s="49"/>
      <c r="G52" s="49"/>
      <c r="H52" s="49"/>
      <c r="I52" s="49"/>
      <c r="J52" s="50"/>
    </row>
    <row r="53" spans="1:10" x14ac:dyDescent="0.25">
      <c r="A53" s="48" t="s">
        <v>102</v>
      </c>
      <c r="B53" s="49"/>
      <c r="C53" s="49"/>
      <c r="D53" s="49"/>
      <c r="E53" s="49"/>
      <c r="F53" s="49"/>
      <c r="G53" s="49"/>
      <c r="H53" s="49"/>
      <c r="I53" s="49"/>
      <c r="J53" s="50"/>
    </row>
    <row r="54" spans="1:10" x14ac:dyDescent="0.25">
      <c r="A54" s="48" t="s">
        <v>103</v>
      </c>
      <c r="B54" s="49"/>
      <c r="C54" s="49"/>
      <c r="D54" s="49"/>
      <c r="E54" s="49"/>
      <c r="F54" s="49"/>
      <c r="G54" s="49"/>
      <c r="H54" s="49"/>
      <c r="I54" s="49"/>
      <c r="J54" s="50"/>
    </row>
    <row r="55" spans="1:10" x14ac:dyDescent="0.25">
      <c r="A55" s="80" t="s">
        <v>78</v>
      </c>
      <c r="B55" s="108"/>
      <c r="C55" s="108"/>
      <c r="D55" s="108"/>
      <c r="E55" s="108"/>
      <c r="F55" s="108"/>
      <c r="G55" s="108"/>
      <c r="H55" s="108"/>
      <c r="I55" s="108"/>
      <c r="J55" s="109"/>
    </row>
    <row r="56" spans="1:10" x14ac:dyDescent="0.25">
      <c r="A56" s="80"/>
      <c r="B56" s="108"/>
      <c r="C56" s="108"/>
      <c r="D56" s="108"/>
      <c r="E56" s="108"/>
      <c r="F56" s="108"/>
      <c r="G56" s="108"/>
      <c r="H56" s="108"/>
      <c r="I56" s="108"/>
      <c r="J56" s="109"/>
    </row>
    <row r="57" spans="1:10" x14ac:dyDescent="0.25">
      <c r="A57" s="10"/>
      <c r="B57" s="8"/>
      <c r="C57" s="8"/>
      <c r="D57" s="8"/>
      <c r="E57" s="8"/>
      <c r="F57" s="8"/>
      <c r="G57" s="8"/>
      <c r="H57" s="8"/>
      <c r="I57" s="8"/>
      <c r="J57" s="11"/>
    </row>
    <row r="58" spans="1:10" ht="15.75" x14ac:dyDescent="0.25">
      <c r="A58" s="67" t="s">
        <v>104</v>
      </c>
      <c r="B58" s="68"/>
      <c r="C58" s="68"/>
      <c r="D58" s="68"/>
      <c r="E58" s="68"/>
      <c r="F58" s="68"/>
      <c r="G58" s="68"/>
      <c r="H58" s="68"/>
      <c r="I58" s="68"/>
      <c r="J58" s="121"/>
    </row>
    <row r="59" spans="1:10" x14ac:dyDescent="0.25">
      <c r="A59" s="80" t="s">
        <v>78</v>
      </c>
      <c r="B59" s="108"/>
      <c r="C59" s="108"/>
      <c r="D59" s="108"/>
      <c r="E59" s="108"/>
      <c r="F59" s="108"/>
      <c r="G59" s="108"/>
      <c r="H59" s="108"/>
      <c r="I59" s="108"/>
      <c r="J59" s="109"/>
    </row>
    <row r="60" spans="1:10" x14ac:dyDescent="0.25">
      <c r="A60" s="80"/>
      <c r="B60" s="108"/>
      <c r="C60" s="108"/>
      <c r="D60" s="108"/>
      <c r="E60" s="108"/>
      <c r="F60" s="108"/>
      <c r="G60" s="108"/>
      <c r="H60" s="108"/>
      <c r="I60" s="108"/>
      <c r="J60" s="109"/>
    </row>
    <row r="61" spans="1:10" x14ac:dyDescent="0.25">
      <c r="A61" s="100" t="s">
        <v>105</v>
      </c>
      <c r="B61" s="101"/>
      <c r="C61" s="101"/>
      <c r="D61" s="101"/>
      <c r="E61" s="101"/>
      <c r="F61" s="101"/>
      <c r="G61" s="101"/>
      <c r="H61" s="101"/>
      <c r="I61" s="101"/>
      <c r="J61" s="102"/>
    </row>
    <row r="62" spans="1:10" x14ac:dyDescent="0.25">
      <c r="A62" s="100"/>
      <c r="B62" s="101"/>
      <c r="C62" s="101"/>
      <c r="D62" s="101"/>
      <c r="E62" s="101"/>
      <c r="F62" s="101"/>
      <c r="G62" s="101"/>
      <c r="H62" s="101"/>
      <c r="I62" s="101"/>
      <c r="J62" s="102"/>
    </row>
    <row r="63" spans="1:10" x14ac:dyDescent="0.25">
      <c r="A63" s="100" t="s">
        <v>106</v>
      </c>
      <c r="B63" s="101"/>
      <c r="C63" s="101"/>
      <c r="D63" s="101"/>
      <c r="E63" s="101"/>
      <c r="F63" s="101"/>
      <c r="G63" s="101"/>
      <c r="H63" s="101"/>
      <c r="I63" s="101"/>
      <c r="J63" s="102"/>
    </row>
    <row r="64" spans="1:10" x14ac:dyDescent="0.25">
      <c r="A64" s="100"/>
      <c r="B64" s="101"/>
      <c r="C64" s="101"/>
      <c r="D64" s="101"/>
      <c r="E64" s="101"/>
      <c r="F64" s="101"/>
      <c r="G64" s="101"/>
      <c r="H64" s="101"/>
      <c r="I64" s="101"/>
      <c r="J64" s="102"/>
    </row>
    <row r="65" spans="1:10" x14ac:dyDescent="0.25">
      <c r="A65" s="10"/>
      <c r="B65" s="8"/>
      <c r="C65" s="8"/>
      <c r="D65" s="8"/>
      <c r="E65" s="8"/>
      <c r="F65" s="8"/>
      <c r="G65" s="8"/>
      <c r="H65" s="8"/>
      <c r="I65" s="8"/>
      <c r="J65" s="11"/>
    </row>
    <row r="66" spans="1:10" x14ac:dyDescent="0.25">
      <c r="A66" s="110" t="s">
        <v>107</v>
      </c>
      <c r="B66" s="111"/>
      <c r="C66" s="111"/>
      <c r="D66" s="111"/>
      <c r="E66" s="111"/>
      <c r="F66" s="111"/>
      <c r="G66" s="111"/>
      <c r="H66" s="111"/>
      <c r="I66" s="111"/>
      <c r="J66" s="112"/>
    </row>
    <row r="67" spans="1:10" x14ac:dyDescent="0.25">
      <c r="A67" s="110"/>
      <c r="B67" s="111"/>
      <c r="C67" s="111"/>
      <c r="D67" s="111"/>
      <c r="E67" s="111"/>
      <c r="F67" s="111"/>
      <c r="G67" s="111"/>
      <c r="H67" s="111"/>
      <c r="I67" s="111"/>
      <c r="J67" s="112"/>
    </row>
    <row r="68" spans="1:10" ht="18.75" customHeight="1" x14ac:dyDescent="0.25">
      <c r="A68" s="34" t="s">
        <v>108</v>
      </c>
      <c r="B68" s="35"/>
      <c r="C68" s="35"/>
      <c r="D68" s="35"/>
      <c r="E68" s="35"/>
      <c r="F68" s="35"/>
      <c r="G68" s="35"/>
      <c r="H68" s="35"/>
      <c r="I68" s="35"/>
      <c r="J68" s="36"/>
    </row>
    <row r="69" spans="1:10" x14ac:dyDescent="0.25">
      <c r="A69" s="34"/>
      <c r="B69" s="35"/>
      <c r="C69" s="35"/>
      <c r="D69" s="35"/>
      <c r="E69" s="35"/>
      <c r="F69" s="35"/>
      <c r="G69" s="35"/>
      <c r="H69" s="35"/>
      <c r="I69" s="35"/>
      <c r="J69" s="36"/>
    </row>
    <row r="70" spans="1:10" ht="18.75" x14ac:dyDescent="0.3">
      <c r="A70" s="117" t="s">
        <v>114</v>
      </c>
      <c r="B70" s="118"/>
      <c r="C70" s="118"/>
      <c r="D70" s="118"/>
      <c r="E70" s="118"/>
      <c r="F70" s="118"/>
      <c r="G70" s="118"/>
      <c r="H70" s="118"/>
      <c r="I70" s="118"/>
      <c r="J70" s="119"/>
    </row>
    <row r="71" spans="1:10" x14ac:dyDescent="0.25">
      <c r="A71" s="25"/>
      <c r="B71" s="26"/>
      <c r="C71" s="26"/>
      <c r="D71" s="26"/>
      <c r="E71" s="26"/>
      <c r="F71" s="26"/>
      <c r="G71" s="26"/>
      <c r="H71" s="26"/>
      <c r="I71" s="26"/>
      <c r="J71" s="27"/>
    </row>
    <row r="72" spans="1:10" ht="18.75" x14ac:dyDescent="0.3">
      <c r="A72" s="117" t="s">
        <v>115</v>
      </c>
      <c r="B72" s="118"/>
      <c r="C72" s="118"/>
      <c r="D72" s="118"/>
      <c r="E72" s="118"/>
      <c r="F72" s="118"/>
      <c r="G72" s="118"/>
      <c r="H72" s="118"/>
      <c r="I72" s="118"/>
      <c r="J72" s="119"/>
    </row>
    <row r="73" spans="1:10" x14ac:dyDescent="0.25">
      <c r="A73" s="25"/>
      <c r="B73" s="26"/>
      <c r="C73" s="26"/>
      <c r="D73" s="26"/>
      <c r="E73" s="26"/>
      <c r="F73" s="26"/>
      <c r="G73" s="26"/>
      <c r="H73" s="26"/>
      <c r="I73" s="26"/>
      <c r="J73" s="27"/>
    </row>
    <row r="74" spans="1:10" ht="18.75" x14ac:dyDescent="0.3">
      <c r="A74" s="117" t="s">
        <v>116</v>
      </c>
      <c r="B74" s="118"/>
      <c r="C74" s="118"/>
      <c r="D74" s="118"/>
      <c r="E74" s="118"/>
      <c r="F74" s="118"/>
      <c r="G74" s="118"/>
      <c r="H74" s="118"/>
      <c r="I74" s="118"/>
      <c r="J74" s="119"/>
    </row>
    <row r="75" spans="1:10" x14ac:dyDescent="0.25">
      <c r="A75" s="25"/>
      <c r="B75" s="26"/>
      <c r="C75" s="26"/>
      <c r="D75" s="26"/>
      <c r="E75" s="26"/>
      <c r="F75" s="26"/>
      <c r="G75" s="26"/>
      <c r="H75" s="26"/>
      <c r="I75" s="26"/>
      <c r="J75" s="27"/>
    </row>
    <row r="76" spans="1:10" x14ac:dyDescent="0.25">
      <c r="A76" s="25"/>
      <c r="B76" s="26"/>
      <c r="C76" s="26"/>
      <c r="D76" s="26"/>
      <c r="E76" s="26"/>
      <c r="F76" s="26"/>
      <c r="G76" s="26"/>
      <c r="H76" s="26"/>
      <c r="I76" s="26"/>
      <c r="J76" s="27"/>
    </row>
    <row r="77" spans="1:10" x14ac:dyDescent="0.25">
      <c r="A77" s="25"/>
      <c r="B77" s="26"/>
      <c r="C77" s="26"/>
      <c r="D77" s="26"/>
      <c r="E77" s="26"/>
      <c r="F77" s="26"/>
      <c r="G77" s="26"/>
      <c r="H77" s="26"/>
      <c r="I77" s="26"/>
      <c r="J77" s="27"/>
    </row>
    <row r="78" spans="1:10" ht="19.5" thickBot="1" x14ac:dyDescent="0.35">
      <c r="A78" s="31" t="s">
        <v>109</v>
      </c>
      <c r="B78" s="32"/>
      <c r="C78" s="32"/>
      <c r="D78" s="32"/>
      <c r="E78" s="32"/>
      <c r="F78" s="32"/>
      <c r="G78" s="32"/>
      <c r="H78" s="32"/>
      <c r="I78" s="32"/>
      <c r="J78" s="33"/>
    </row>
    <row r="79" spans="1:10" x14ac:dyDescent="0.25">
      <c r="A79" s="120"/>
      <c r="B79" s="73"/>
      <c r="C79" s="74"/>
      <c r="D79" s="120"/>
      <c r="E79" s="73"/>
      <c r="F79" s="74"/>
      <c r="G79" s="26"/>
      <c r="H79" s="120"/>
      <c r="I79" s="73"/>
      <c r="J79" s="74"/>
    </row>
    <row r="80" spans="1:10" ht="15.75" thickBot="1" x14ac:dyDescent="0.3">
      <c r="A80" s="28"/>
      <c r="B80" s="29"/>
      <c r="C80" s="30"/>
      <c r="D80" s="28"/>
      <c r="E80" s="29"/>
      <c r="F80" s="30"/>
      <c r="G80" s="26"/>
      <c r="H80" s="28"/>
      <c r="I80" s="29"/>
      <c r="J80" s="30"/>
    </row>
    <row r="81" spans="1:10" x14ac:dyDescent="0.25">
      <c r="A81" s="25"/>
      <c r="B81" s="26"/>
      <c r="C81" s="26"/>
      <c r="D81" s="26"/>
      <c r="E81" s="26"/>
      <c r="F81" s="26"/>
      <c r="G81" s="26"/>
      <c r="H81" s="26"/>
      <c r="I81" s="26"/>
      <c r="J81" s="27"/>
    </row>
    <row r="82" spans="1:10" x14ac:dyDescent="0.25">
      <c r="A82" s="25"/>
      <c r="B82" s="26"/>
      <c r="C82" s="26"/>
      <c r="D82" s="26"/>
      <c r="E82" s="26"/>
      <c r="F82" s="26"/>
      <c r="G82" s="26"/>
      <c r="H82" s="26"/>
      <c r="I82" s="26"/>
      <c r="J82" s="27"/>
    </row>
    <row r="83" spans="1:10" ht="15.75" x14ac:dyDescent="0.25">
      <c r="A83" s="113" t="s">
        <v>110</v>
      </c>
      <c r="B83" s="114"/>
      <c r="C83" s="114"/>
      <c r="D83" s="115"/>
      <c r="E83" s="115"/>
      <c r="F83" s="115"/>
      <c r="G83" s="115"/>
      <c r="H83" s="115"/>
      <c r="I83" s="115"/>
      <c r="J83" s="116"/>
    </row>
    <row r="84" spans="1:10" x14ac:dyDescent="0.25">
      <c r="A84" s="25"/>
      <c r="B84" s="26"/>
      <c r="C84" s="26"/>
      <c r="D84" s="26"/>
      <c r="E84" s="26"/>
      <c r="F84" s="26"/>
      <c r="G84" s="26"/>
      <c r="H84" s="26"/>
      <c r="I84" s="26"/>
      <c r="J84" s="27"/>
    </row>
    <row r="85" spans="1:10" x14ac:dyDescent="0.25">
      <c r="A85" s="37" t="s">
        <v>111</v>
      </c>
      <c r="B85" s="38"/>
      <c r="C85" s="38"/>
      <c r="D85" s="26"/>
      <c r="E85" s="26"/>
      <c r="F85" s="26"/>
      <c r="G85" s="26"/>
      <c r="H85" s="26"/>
      <c r="I85" s="26"/>
      <c r="J85" s="27"/>
    </row>
    <row r="86" spans="1:10" x14ac:dyDescent="0.25">
      <c r="A86" s="25"/>
      <c r="B86" s="26"/>
      <c r="C86" s="26"/>
      <c r="D86" s="26"/>
      <c r="E86" s="26"/>
      <c r="F86" s="26"/>
      <c r="G86" s="26"/>
      <c r="H86" s="26"/>
      <c r="I86" s="26"/>
      <c r="J86" s="27"/>
    </row>
    <row r="87" spans="1:10" ht="18.75" x14ac:dyDescent="0.3">
      <c r="A87" s="31" t="s">
        <v>112</v>
      </c>
      <c r="B87" s="32"/>
      <c r="C87" s="32"/>
      <c r="D87" s="32"/>
      <c r="E87" s="32"/>
      <c r="F87" s="32"/>
      <c r="G87" s="32"/>
      <c r="H87" s="32"/>
      <c r="I87" s="32"/>
      <c r="J87" s="33"/>
    </row>
    <row r="88" spans="1:10" x14ac:dyDescent="0.25">
      <c r="A88" s="25"/>
      <c r="B88" s="26"/>
      <c r="C88" s="26"/>
      <c r="D88" s="26"/>
      <c r="E88" s="26"/>
      <c r="F88" s="26"/>
      <c r="G88" s="26"/>
      <c r="H88" s="26"/>
      <c r="I88" s="26"/>
      <c r="J88" s="27"/>
    </row>
    <row r="89" spans="1:10" x14ac:dyDescent="0.25">
      <c r="A89" s="25"/>
      <c r="B89" s="26"/>
      <c r="C89" s="26"/>
      <c r="D89" s="26"/>
      <c r="E89" s="26"/>
      <c r="F89" s="26"/>
      <c r="G89" s="26"/>
      <c r="H89" s="26"/>
      <c r="I89" s="26"/>
      <c r="J89" s="27"/>
    </row>
    <row r="90" spans="1:10" ht="18.75" x14ac:dyDescent="0.3">
      <c r="A90" s="31" t="s">
        <v>113</v>
      </c>
      <c r="B90" s="32"/>
      <c r="C90" s="32"/>
      <c r="D90" s="32"/>
      <c r="E90" s="32"/>
      <c r="F90" s="32"/>
      <c r="G90" s="32"/>
      <c r="H90" s="32"/>
      <c r="I90" s="32"/>
      <c r="J90" s="33"/>
    </row>
    <row r="91" spans="1:10" x14ac:dyDescent="0.25">
      <c r="A91" s="25"/>
      <c r="B91" s="26"/>
      <c r="C91" s="26"/>
      <c r="D91" s="26"/>
      <c r="E91" s="26"/>
      <c r="F91" s="26"/>
      <c r="G91" s="26"/>
      <c r="H91" s="26"/>
      <c r="I91" s="26"/>
      <c r="J91" s="27"/>
    </row>
    <row r="92" spans="1:10" x14ac:dyDescent="0.25">
      <c r="A92" s="25"/>
      <c r="B92" s="26"/>
      <c r="C92" s="26"/>
      <c r="D92" s="26"/>
      <c r="E92" s="26"/>
      <c r="F92" s="26"/>
      <c r="G92" s="26"/>
      <c r="H92" s="26"/>
      <c r="I92" s="26"/>
      <c r="J92" s="27"/>
    </row>
    <row r="93" spans="1:10" x14ac:dyDescent="0.25">
      <c r="A93" s="25"/>
      <c r="B93" s="26"/>
      <c r="C93" s="26"/>
      <c r="D93" s="26"/>
      <c r="E93" s="26"/>
      <c r="F93" s="26"/>
      <c r="G93" s="26"/>
      <c r="H93" s="26"/>
      <c r="I93" s="26"/>
      <c r="J93" s="27"/>
    </row>
    <row r="94" spans="1:10" x14ac:dyDescent="0.25">
      <c r="A94" s="25"/>
      <c r="B94" s="26"/>
      <c r="C94" s="26"/>
      <c r="D94" s="26"/>
      <c r="E94" s="26"/>
      <c r="F94" s="26"/>
      <c r="G94" s="26"/>
      <c r="H94" s="26"/>
      <c r="I94" s="26"/>
      <c r="J94" s="27"/>
    </row>
    <row r="95" spans="1:10" x14ac:dyDescent="0.25">
      <c r="A95" s="25"/>
      <c r="B95" s="26"/>
      <c r="C95" s="26"/>
      <c r="D95" s="26"/>
      <c r="E95" s="26"/>
      <c r="F95" s="26"/>
      <c r="G95" s="26"/>
      <c r="H95" s="26"/>
      <c r="I95" s="26"/>
      <c r="J95" s="27"/>
    </row>
    <row r="96" spans="1:10" x14ac:dyDescent="0.25">
      <c r="A96" s="25"/>
      <c r="B96" s="26"/>
      <c r="C96" s="26"/>
      <c r="D96" s="26"/>
      <c r="E96" s="26"/>
      <c r="F96" s="26"/>
      <c r="G96" s="26"/>
      <c r="H96" s="26"/>
      <c r="I96" s="26"/>
      <c r="J96" s="27"/>
    </row>
    <row r="97" spans="1:10" x14ac:dyDescent="0.25">
      <c r="A97" s="25"/>
      <c r="B97" s="26"/>
      <c r="C97" s="26"/>
      <c r="D97" s="26"/>
      <c r="E97" s="26"/>
      <c r="F97" s="26"/>
      <c r="G97" s="26"/>
      <c r="H97" s="26"/>
      <c r="I97" s="26"/>
      <c r="J97" s="27"/>
    </row>
    <row r="98" spans="1:10" x14ac:dyDescent="0.25">
      <c r="A98" s="25"/>
      <c r="B98" s="26"/>
      <c r="C98" s="26"/>
      <c r="D98" s="26"/>
      <c r="E98" s="26"/>
      <c r="F98" s="26"/>
      <c r="G98" s="26"/>
      <c r="H98" s="26"/>
      <c r="I98" s="26"/>
      <c r="J98" s="27"/>
    </row>
    <row r="99" spans="1:10" x14ac:dyDescent="0.25">
      <c r="A99" s="25"/>
      <c r="B99" s="26"/>
      <c r="C99" s="26"/>
      <c r="D99" s="26"/>
      <c r="E99" s="26"/>
      <c r="F99" s="26"/>
      <c r="G99" s="26"/>
      <c r="H99" s="26"/>
      <c r="I99" s="26"/>
      <c r="J99" s="27"/>
    </row>
    <row r="100" spans="1:10" x14ac:dyDescent="0.25">
      <c r="A100" s="25"/>
      <c r="B100" s="26"/>
      <c r="C100" s="26"/>
      <c r="D100" s="26"/>
      <c r="E100" s="26"/>
      <c r="F100" s="26"/>
      <c r="G100" s="26"/>
      <c r="H100" s="26"/>
      <c r="I100" s="26"/>
      <c r="J100" s="27"/>
    </row>
    <row r="101" spans="1:10" ht="15.75" thickBot="1" x14ac:dyDescent="0.3">
      <c r="A101" s="28"/>
      <c r="B101" s="29"/>
      <c r="C101" s="29"/>
      <c r="D101" s="29"/>
      <c r="E101" s="29"/>
      <c r="F101" s="29"/>
      <c r="G101" s="29"/>
      <c r="H101" s="29"/>
      <c r="I101" s="29"/>
      <c r="J101" s="30"/>
    </row>
  </sheetData>
  <mergeCells count="101">
    <mergeCell ref="A52:J52"/>
    <mergeCell ref="A53:J53"/>
    <mergeCell ref="A54:J54"/>
    <mergeCell ref="A55:J56"/>
    <mergeCell ref="A58:J58"/>
    <mergeCell ref="A51:D51"/>
    <mergeCell ref="A45:J45"/>
    <mergeCell ref="A31:J31"/>
    <mergeCell ref="A32:J32"/>
    <mergeCell ref="A59:J60"/>
    <mergeCell ref="A61:J62"/>
    <mergeCell ref="A63:J64"/>
    <mergeCell ref="A66:J67"/>
    <mergeCell ref="A83:C83"/>
    <mergeCell ref="D83:J83"/>
    <mergeCell ref="A70:J70"/>
    <mergeCell ref="A72:J72"/>
    <mergeCell ref="A74:J74"/>
    <mergeCell ref="A78:J78"/>
    <mergeCell ref="A79:C80"/>
    <mergeCell ref="D79:F80"/>
    <mergeCell ref="H79:J80"/>
    <mergeCell ref="A42:J44"/>
    <mergeCell ref="A49:J50"/>
    <mergeCell ref="A46:J46"/>
    <mergeCell ref="A47:J47"/>
    <mergeCell ref="A48:J48"/>
    <mergeCell ref="A41:J41"/>
    <mergeCell ref="E36:J36"/>
    <mergeCell ref="L7:N9"/>
    <mergeCell ref="L10:N12"/>
    <mergeCell ref="E51:J51"/>
    <mergeCell ref="C14:E14"/>
    <mergeCell ref="C15:E15"/>
    <mergeCell ref="H14:J14"/>
    <mergeCell ref="H15:J15"/>
    <mergeCell ref="H16:J16"/>
    <mergeCell ref="H17:J17"/>
    <mergeCell ref="H18:J18"/>
    <mergeCell ref="A14:B14"/>
    <mergeCell ref="C34:J34"/>
    <mergeCell ref="A37:J38"/>
    <mergeCell ref="A19:J19"/>
    <mergeCell ref="A25:J25"/>
    <mergeCell ref="A26:J26"/>
    <mergeCell ref="A27:J27"/>
    <mergeCell ref="A28:J28"/>
    <mergeCell ref="A29:J29"/>
    <mergeCell ref="A30:J30"/>
    <mergeCell ref="A33:J33"/>
    <mergeCell ref="E35:J35"/>
    <mergeCell ref="A35:D35"/>
    <mergeCell ref="A36:D36"/>
    <mergeCell ref="A18:B18"/>
    <mergeCell ref="A39:J40"/>
    <mergeCell ref="A34:B34"/>
    <mergeCell ref="F15:G15"/>
    <mergeCell ref="F16:G16"/>
    <mergeCell ref="F17:G17"/>
    <mergeCell ref="F18:G18"/>
    <mergeCell ref="A15:B15"/>
    <mergeCell ref="A16:B16"/>
    <mergeCell ref="A17:B17"/>
    <mergeCell ref="C17:E17"/>
    <mergeCell ref="C18:E18"/>
    <mergeCell ref="A21:J21"/>
    <mergeCell ref="A22:J22"/>
    <mergeCell ref="A23:J23"/>
    <mergeCell ref="A24:J24"/>
    <mergeCell ref="A1:J1"/>
    <mergeCell ref="D2:J5"/>
    <mergeCell ref="A2:C5"/>
    <mergeCell ref="A6:J6"/>
    <mergeCell ref="A20:E20"/>
    <mergeCell ref="F20:J20"/>
    <mergeCell ref="C16:E16"/>
    <mergeCell ref="A7:H7"/>
    <mergeCell ref="A8:B8"/>
    <mergeCell ref="A9:B9"/>
    <mergeCell ref="I7:J12"/>
    <mergeCell ref="C8:H8"/>
    <mergeCell ref="C9:H9"/>
    <mergeCell ref="C10:H12"/>
    <mergeCell ref="A10:B12"/>
    <mergeCell ref="F14:G14"/>
    <mergeCell ref="A13:B13"/>
    <mergeCell ref="C13:J13"/>
    <mergeCell ref="A91:J101"/>
    <mergeCell ref="A87:J87"/>
    <mergeCell ref="A90:J90"/>
    <mergeCell ref="A68:J69"/>
    <mergeCell ref="A71:J71"/>
    <mergeCell ref="A73:J73"/>
    <mergeCell ref="A75:J77"/>
    <mergeCell ref="A81:J82"/>
    <mergeCell ref="A84:J84"/>
    <mergeCell ref="A86:J86"/>
    <mergeCell ref="A88:J89"/>
    <mergeCell ref="G79:G80"/>
    <mergeCell ref="A85:C85"/>
    <mergeCell ref="D85:J85"/>
  </mergeCells>
  <pageMargins left="0.7" right="0.7" top="0.5" bottom="0.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'LOAN DATA'!$A$2:$A$101</xm:f>
          </x14:formula1>
          <xm:sqref>L7:N9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N101"/>
  <sheetViews>
    <sheetView topLeftCell="D1" workbookViewId="0">
      <selection activeCell="N4" sqref="N4"/>
    </sheetView>
  </sheetViews>
  <sheetFormatPr defaultRowHeight="15" x14ac:dyDescent="0.25"/>
  <cols>
    <col min="1" max="1" width="4" bestFit="1" customWidth="1"/>
    <col min="2" max="2" width="15.140625" bestFit="1" customWidth="1"/>
    <col min="3" max="3" width="12.28515625" customWidth="1"/>
    <col min="4" max="4" width="27.140625" bestFit="1" customWidth="1"/>
    <col min="5" max="5" width="24.85546875" bestFit="1" customWidth="1"/>
    <col min="6" max="6" width="15.85546875" bestFit="1" customWidth="1"/>
    <col min="7" max="7" width="10.7109375" bestFit="1" customWidth="1"/>
    <col min="8" max="8" width="14.42578125" bestFit="1" customWidth="1"/>
    <col min="9" max="9" width="12.7109375" bestFit="1" customWidth="1"/>
    <col min="10" max="11" width="13.85546875" bestFit="1" customWidth="1"/>
    <col min="12" max="12" width="15.42578125" bestFit="1" customWidth="1"/>
    <col min="13" max="13" width="9.42578125" bestFit="1" customWidth="1"/>
    <col min="14" max="14" width="25.140625" customWidth="1"/>
  </cols>
  <sheetData>
    <row r="1" spans="1:14" ht="15.75" x14ac:dyDescent="0.25">
      <c r="A1" s="12" t="s">
        <v>1</v>
      </c>
      <c r="B1" s="12" t="s">
        <v>118</v>
      </c>
      <c r="C1" s="12" t="s">
        <v>119</v>
      </c>
      <c r="D1" s="12" t="s">
        <v>0</v>
      </c>
      <c r="E1" s="12" t="s">
        <v>120</v>
      </c>
      <c r="F1" s="12" t="s">
        <v>121</v>
      </c>
      <c r="G1" s="12" t="s">
        <v>122</v>
      </c>
      <c r="H1" s="12" t="s">
        <v>8</v>
      </c>
      <c r="I1" s="12" t="s">
        <v>123</v>
      </c>
      <c r="J1" s="12" t="s">
        <v>124</v>
      </c>
      <c r="K1" s="12"/>
      <c r="L1" s="12" t="s">
        <v>125</v>
      </c>
      <c r="M1" s="12" t="s">
        <v>126</v>
      </c>
      <c r="N1" s="12" t="s">
        <v>127</v>
      </c>
    </row>
    <row r="2" spans="1:14" x14ac:dyDescent="0.25">
      <c r="A2" s="9">
        <v>1</v>
      </c>
      <c r="B2" s="9" t="s">
        <v>128</v>
      </c>
      <c r="C2" s="9" t="s">
        <v>129</v>
      </c>
      <c r="D2" s="9" t="s">
        <v>130</v>
      </c>
      <c r="E2" s="9" t="s">
        <v>131</v>
      </c>
      <c r="F2" s="9" t="s">
        <v>132</v>
      </c>
      <c r="G2" s="14">
        <v>43528</v>
      </c>
      <c r="H2" s="9" t="s">
        <v>133</v>
      </c>
      <c r="I2" s="9" t="s">
        <v>134</v>
      </c>
      <c r="J2" s="9">
        <v>1234567890</v>
      </c>
      <c r="K2" s="15" t="s">
        <v>137</v>
      </c>
      <c r="L2" s="9" t="s">
        <v>135</v>
      </c>
      <c r="M2" s="9">
        <v>475110</v>
      </c>
      <c r="N2" s="9"/>
    </row>
    <row r="3" spans="1:14" x14ac:dyDescent="0.25">
      <c r="A3" s="9">
        <v>2</v>
      </c>
      <c r="B3" s="9" t="s">
        <v>138</v>
      </c>
      <c r="C3" t="s">
        <v>139</v>
      </c>
      <c r="D3" s="9" t="s">
        <v>2</v>
      </c>
      <c r="E3" s="9" t="s">
        <v>3</v>
      </c>
      <c r="F3" s="9" t="s">
        <v>140</v>
      </c>
      <c r="G3" s="14">
        <v>35349</v>
      </c>
      <c r="H3" s="9" t="s">
        <v>141</v>
      </c>
      <c r="I3" s="9" t="s">
        <v>142</v>
      </c>
      <c r="J3" s="9">
        <v>9977885544</v>
      </c>
      <c r="K3" s="9" t="s">
        <v>143</v>
      </c>
      <c r="L3" s="9" t="s">
        <v>144</v>
      </c>
      <c r="M3" s="9">
        <v>4758110</v>
      </c>
      <c r="N3" s="9"/>
    </row>
    <row r="4" spans="1:14" x14ac:dyDescent="0.25">
      <c r="A4" s="9">
        <v>3</v>
      </c>
      <c r="B4" s="9" t="s">
        <v>145</v>
      </c>
      <c r="C4" s="9"/>
      <c r="D4" s="9" t="s">
        <v>146</v>
      </c>
      <c r="E4" s="9" t="s">
        <v>147</v>
      </c>
      <c r="F4" s="9" t="s">
        <v>148</v>
      </c>
      <c r="G4" s="14">
        <v>28856</v>
      </c>
      <c r="H4" s="9" t="s">
        <v>149</v>
      </c>
      <c r="I4" s="9" t="s">
        <v>150</v>
      </c>
      <c r="J4" s="9">
        <v>8319481484</v>
      </c>
      <c r="K4" s="9" t="s">
        <v>151</v>
      </c>
      <c r="L4" s="9" t="s">
        <v>152</v>
      </c>
      <c r="M4" s="9">
        <v>475110</v>
      </c>
      <c r="N4" s="9"/>
    </row>
    <row r="5" spans="1:14" x14ac:dyDescent="0.25">
      <c r="A5" s="9">
        <v>4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 x14ac:dyDescent="0.25">
      <c r="A6" s="9">
        <v>5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25">
      <c r="A7" s="9">
        <v>6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 x14ac:dyDescent="0.25">
      <c r="A8" s="9">
        <v>7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9">
        <v>8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25">
      <c r="A10" s="9">
        <v>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25">
      <c r="A11" s="9">
        <v>10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25">
      <c r="A12" s="9">
        <v>11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25">
      <c r="A13" s="9">
        <v>12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 x14ac:dyDescent="0.25">
      <c r="A14" s="9">
        <v>13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 x14ac:dyDescent="0.25">
      <c r="A15" s="9">
        <v>14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 x14ac:dyDescent="0.25">
      <c r="A16" s="9">
        <v>15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 x14ac:dyDescent="0.25">
      <c r="A17" s="9">
        <v>16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 x14ac:dyDescent="0.25">
      <c r="A18" s="9">
        <v>17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 x14ac:dyDescent="0.25">
      <c r="A19" s="9">
        <v>18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 x14ac:dyDescent="0.25">
      <c r="A20" s="9">
        <v>19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 x14ac:dyDescent="0.25">
      <c r="A21" s="9">
        <v>20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 x14ac:dyDescent="0.25">
      <c r="A22" s="9">
        <v>21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 x14ac:dyDescent="0.25">
      <c r="A23" s="9">
        <v>22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 x14ac:dyDescent="0.25">
      <c r="A24" s="9">
        <v>23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25">
      <c r="A25" s="9">
        <v>24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5">
      <c r="A26" s="9">
        <v>25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 x14ac:dyDescent="0.25">
      <c r="A27" s="9">
        <v>26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x14ac:dyDescent="0.25">
      <c r="A28" s="9">
        <v>27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x14ac:dyDescent="0.25">
      <c r="A29" s="9">
        <v>28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x14ac:dyDescent="0.25">
      <c r="A30" s="9">
        <v>29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5">
      <c r="A31" s="9">
        <v>30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5">
      <c r="A32" s="9">
        <v>31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5">
      <c r="A33" s="9">
        <v>32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5">
      <c r="A34" s="9">
        <v>33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5">
      <c r="A35" s="9">
        <v>34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5">
      <c r="A36" s="9">
        <v>35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5">
      <c r="A37" s="9">
        <v>36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5">
      <c r="A38" s="9">
        <v>37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5">
      <c r="A39" s="9">
        <v>38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x14ac:dyDescent="0.25">
      <c r="A40" s="9">
        <v>39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 x14ac:dyDescent="0.25">
      <c r="A41" s="9">
        <v>40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25">
      <c r="A42" s="9">
        <v>41</v>
      </c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 x14ac:dyDescent="0.25">
      <c r="A43" s="9">
        <v>42</v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 x14ac:dyDescent="0.25">
      <c r="A44" s="9">
        <v>43</v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 x14ac:dyDescent="0.25">
      <c r="A45" s="9">
        <v>44</v>
      </c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 x14ac:dyDescent="0.25">
      <c r="A46" s="9">
        <v>45</v>
      </c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 x14ac:dyDescent="0.25">
      <c r="A47" s="9">
        <v>46</v>
      </c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 x14ac:dyDescent="0.25">
      <c r="A48" s="9">
        <v>47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 x14ac:dyDescent="0.25">
      <c r="A49" s="9">
        <v>48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 x14ac:dyDescent="0.25">
      <c r="A50" s="9">
        <v>49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 x14ac:dyDescent="0.25">
      <c r="A51" s="9">
        <v>50</v>
      </c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 x14ac:dyDescent="0.25">
      <c r="A52" s="9">
        <v>51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 x14ac:dyDescent="0.25">
      <c r="A53" s="9">
        <v>52</v>
      </c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1:14" x14ac:dyDescent="0.25">
      <c r="A54" s="9">
        <v>53</v>
      </c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1:14" x14ac:dyDescent="0.25">
      <c r="A55" s="9">
        <v>54</v>
      </c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1:14" x14ac:dyDescent="0.25">
      <c r="A56" s="9">
        <v>55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1:14" x14ac:dyDescent="0.25">
      <c r="A57" s="9">
        <v>56</v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1:14" x14ac:dyDescent="0.25">
      <c r="A58" s="9">
        <v>57</v>
      </c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1:14" x14ac:dyDescent="0.25">
      <c r="A59" s="9">
        <v>58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1:14" x14ac:dyDescent="0.25">
      <c r="A60" s="9">
        <v>59</v>
      </c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1:14" x14ac:dyDescent="0.25">
      <c r="A61" s="9">
        <v>60</v>
      </c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1:14" x14ac:dyDescent="0.25">
      <c r="A62" s="9">
        <v>61</v>
      </c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1:14" x14ac:dyDescent="0.25">
      <c r="A63" s="9">
        <v>62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1:14" x14ac:dyDescent="0.25">
      <c r="A64" s="9">
        <v>63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1:14" x14ac:dyDescent="0.25">
      <c r="A65" s="9">
        <v>64</v>
      </c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 x14ac:dyDescent="0.25">
      <c r="A66" s="9">
        <v>65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 x14ac:dyDescent="0.25">
      <c r="A67" s="9">
        <v>66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 x14ac:dyDescent="0.25">
      <c r="A68" s="9">
        <v>67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 x14ac:dyDescent="0.25">
      <c r="A69" s="9">
        <v>68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 x14ac:dyDescent="0.25">
      <c r="A70" s="9">
        <v>69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 x14ac:dyDescent="0.25">
      <c r="A71" s="9">
        <v>70</v>
      </c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 x14ac:dyDescent="0.25">
      <c r="A72" s="9">
        <v>71</v>
      </c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 x14ac:dyDescent="0.25">
      <c r="A73" s="9">
        <v>72</v>
      </c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 x14ac:dyDescent="0.25">
      <c r="A74" s="9">
        <v>73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 x14ac:dyDescent="0.25">
      <c r="A75" s="9">
        <v>74</v>
      </c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 x14ac:dyDescent="0.25">
      <c r="A76" s="9">
        <v>75</v>
      </c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 x14ac:dyDescent="0.25">
      <c r="A77" s="9">
        <v>76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x14ac:dyDescent="0.25">
      <c r="A78" s="9">
        <v>77</v>
      </c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 x14ac:dyDescent="0.25">
      <c r="A79" s="9">
        <v>78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 x14ac:dyDescent="0.25">
      <c r="A80" s="9">
        <v>79</v>
      </c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 x14ac:dyDescent="0.25">
      <c r="A81" s="9">
        <v>80</v>
      </c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 x14ac:dyDescent="0.25">
      <c r="A82" s="9">
        <v>81</v>
      </c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 x14ac:dyDescent="0.25">
      <c r="A83" s="9">
        <v>82</v>
      </c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 x14ac:dyDescent="0.25">
      <c r="A84" s="9">
        <v>83</v>
      </c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 x14ac:dyDescent="0.25">
      <c r="A85" s="9">
        <v>84</v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 x14ac:dyDescent="0.25">
      <c r="A86" s="9">
        <v>85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 x14ac:dyDescent="0.25">
      <c r="A87" s="9">
        <v>86</v>
      </c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 x14ac:dyDescent="0.25">
      <c r="A88" s="9">
        <v>87</v>
      </c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 x14ac:dyDescent="0.25">
      <c r="A89" s="9">
        <v>88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 x14ac:dyDescent="0.25">
      <c r="A90" s="9">
        <v>89</v>
      </c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 x14ac:dyDescent="0.25">
      <c r="A91" s="9">
        <v>90</v>
      </c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 x14ac:dyDescent="0.25">
      <c r="A92" s="9">
        <v>91</v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 x14ac:dyDescent="0.25">
      <c r="A93" s="9">
        <v>92</v>
      </c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 x14ac:dyDescent="0.25">
      <c r="A94" s="9">
        <v>93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 x14ac:dyDescent="0.25">
      <c r="A95" s="9">
        <v>94</v>
      </c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 x14ac:dyDescent="0.25">
      <c r="A96" s="9">
        <v>95</v>
      </c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 x14ac:dyDescent="0.25">
      <c r="A97" s="9">
        <v>96</v>
      </c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1:14" x14ac:dyDescent="0.25">
      <c r="A98" s="9">
        <v>97</v>
      </c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1:14" x14ac:dyDescent="0.25">
      <c r="A99" s="9">
        <v>98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1:14" x14ac:dyDescent="0.25">
      <c r="A100" s="9">
        <v>99</v>
      </c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</row>
    <row r="101" spans="1:14" x14ac:dyDescent="0.25">
      <c r="A101" s="9">
        <v>100</v>
      </c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DEMO</vt:lpstr>
      <vt:lpstr>LOAN FORM</vt:lpstr>
      <vt:lpstr>LOAN DATA</vt:lpstr>
      <vt:lpstr>LOAN</vt:lpstr>
      <vt:lpstr>DASHBOARD!Print_Area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</dc:creator>
  <cp:lastModifiedBy>Raj</cp:lastModifiedBy>
  <cp:lastPrinted>2019-04-24T07:10:28Z</cp:lastPrinted>
  <dcterms:created xsi:type="dcterms:W3CDTF">2019-04-09T13:32:40Z</dcterms:created>
  <dcterms:modified xsi:type="dcterms:W3CDTF">2019-04-24T09:58:19Z</dcterms:modified>
</cp:coreProperties>
</file>